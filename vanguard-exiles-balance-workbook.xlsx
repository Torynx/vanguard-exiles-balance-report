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"/>
    </mc:Choice>
  </mc:AlternateContent>
  <xr:revisionPtr revIDLastSave="0" documentId="13_ncr:1_{B94D92CD-EE98-494C-AA40-657628F59C6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in(pre-Update v0.3.3.3348)" sheetId="1" r:id="rId1"/>
    <sheet name="LowMedian(Update v0.3.3.3348)" sheetId="2" r:id="rId2"/>
    <sheet name="Main(0.3.11.4021)" sheetId="3" r:id="rId3"/>
    <sheet name="FinalIteration(Nodnarb21s)" sheetId="4" r:id="rId4"/>
    <sheet name="ComparisonOverview" sheetId="5" r:id="rId5"/>
    <sheet name="Balance Dashboard" sheetId="6" r:id="rId6"/>
    <sheet name="Unit Metrics" sheetId="7" r:id="rId7"/>
    <sheet name="Pair Volatility" sheetId="8" r:id="rId8"/>
    <sheet name="Accessibility Guide" sheetId="9" r:id="rId9"/>
    <sheet name="Metric Definitions" sheetId="10" r:id="rId10"/>
    <sheet name="Patch Summary" sheetId="11" r:id="rId11"/>
    <sheet name="Block Balance" sheetId="12" r:id="rId12"/>
    <sheet name="Pair Scaling" sheetId="13" r:id="rId13"/>
    <sheet name="Current Unit Ranking" sheetId="14" r:id="rId14"/>
    <sheet name="Current Pair Swings" sheetId="15" r:id="rId15"/>
  </sheets>
  <calcPr calcId="191029"/>
</workbook>
</file>

<file path=xl/calcChain.xml><?xml version="1.0" encoding="utf-8"?>
<calcChain xmlns="http://schemas.openxmlformats.org/spreadsheetml/2006/main">
  <c r="I46" i="4" l="1"/>
  <c r="G46" i="4"/>
  <c r="F46" i="4"/>
  <c r="E46" i="4"/>
  <c r="D46" i="4"/>
  <c r="C46" i="4"/>
  <c r="B46" i="4"/>
  <c r="F45" i="4"/>
  <c r="E45" i="4"/>
  <c r="D45" i="4"/>
  <c r="C45" i="4"/>
  <c r="B45" i="4"/>
  <c r="I45" i="4" s="1"/>
  <c r="I44" i="4"/>
  <c r="E44" i="4"/>
  <c r="D44" i="4"/>
  <c r="C44" i="4"/>
  <c r="B44" i="4"/>
  <c r="I43" i="4"/>
  <c r="D43" i="4"/>
  <c r="C43" i="4"/>
  <c r="B43" i="4"/>
  <c r="C42" i="4"/>
  <c r="B42" i="4"/>
  <c r="I42" i="4" s="1"/>
  <c r="K40" i="4" s="1"/>
  <c r="K41" i="4" a="1"/>
  <c r="K41" i="4" s="1"/>
  <c r="I41" i="4"/>
  <c r="B41" i="4"/>
  <c r="I40" i="4"/>
  <c r="G37" i="4"/>
  <c r="F37" i="4"/>
  <c r="E37" i="4"/>
  <c r="D37" i="4"/>
  <c r="C37" i="4"/>
  <c r="B37" i="4"/>
  <c r="I37" i="4" s="1"/>
  <c r="F36" i="4"/>
  <c r="E36" i="4"/>
  <c r="D36" i="4"/>
  <c r="C36" i="4"/>
  <c r="I36" i="4" s="1"/>
  <c r="B36" i="4"/>
  <c r="I35" i="4"/>
  <c r="E35" i="4"/>
  <c r="D35" i="4"/>
  <c r="C35" i="4"/>
  <c r="B35" i="4"/>
  <c r="D34" i="4"/>
  <c r="C34" i="4"/>
  <c r="B34" i="4"/>
  <c r="I34" i="4" s="1"/>
  <c r="C33" i="4"/>
  <c r="B33" i="4"/>
  <c r="I33" i="4" s="1"/>
  <c r="K32" i="4" a="1"/>
  <c r="K32" i="4" s="1"/>
  <c r="B32" i="4"/>
  <c r="I32" i="4" s="1"/>
  <c r="K31" i="4" s="1"/>
  <c r="I31" i="4"/>
  <c r="K33" i="4" s="1"/>
  <c r="G28" i="4"/>
  <c r="F28" i="4"/>
  <c r="E28" i="4"/>
  <c r="D28" i="4"/>
  <c r="C28" i="4"/>
  <c r="B28" i="4"/>
  <c r="I28" i="4" s="1"/>
  <c r="I27" i="4"/>
  <c r="F27" i="4"/>
  <c r="E27" i="4"/>
  <c r="D27" i="4"/>
  <c r="C27" i="4"/>
  <c r="B27" i="4"/>
  <c r="I26" i="4"/>
  <c r="E26" i="4"/>
  <c r="D26" i="4"/>
  <c r="C26" i="4"/>
  <c r="B26" i="4"/>
  <c r="D25" i="4"/>
  <c r="C25" i="4"/>
  <c r="B25" i="4"/>
  <c r="I25" i="4" s="1"/>
  <c r="I24" i="4"/>
  <c r="C24" i="4"/>
  <c r="B24" i="4"/>
  <c r="I23" i="4"/>
  <c r="B23" i="4"/>
  <c r="K23" i="4" s="1" a="1"/>
  <c r="K23" i="4" s="1"/>
  <c r="I22" i="4"/>
  <c r="G19" i="4"/>
  <c r="F19" i="4"/>
  <c r="E19" i="4"/>
  <c r="D19" i="4"/>
  <c r="C19" i="4"/>
  <c r="B19" i="4"/>
  <c r="I19" i="4" s="1"/>
  <c r="F18" i="4"/>
  <c r="E18" i="4"/>
  <c r="D18" i="4"/>
  <c r="C18" i="4"/>
  <c r="B18" i="4"/>
  <c r="I18" i="4" s="1"/>
  <c r="E17" i="4"/>
  <c r="D17" i="4"/>
  <c r="C17" i="4"/>
  <c r="B17" i="4"/>
  <c r="I17" i="4" s="1"/>
  <c r="D16" i="4"/>
  <c r="C16" i="4"/>
  <c r="B16" i="4"/>
  <c r="I16" i="4" s="1"/>
  <c r="C15" i="4"/>
  <c r="B15" i="4"/>
  <c r="I15" i="4" s="1"/>
  <c r="K15" i="4" s="1"/>
  <c r="I14" i="4"/>
  <c r="B14" i="4"/>
  <c r="K14" i="4" s="1" a="1"/>
  <c r="K14" i="4" s="1"/>
  <c r="I13" i="4"/>
  <c r="K13" i="4" s="1"/>
  <c r="G10" i="4"/>
  <c r="F10" i="4"/>
  <c r="E10" i="4"/>
  <c r="I10" i="4" s="1"/>
  <c r="D10" i="4"/>
  <c r="C10" i="4"/>
  <c r="B10" i="4"/>
  <c r="F9" i="4"/>
  <c r="E9" i="4"/>
  <c r="D9" i="4"/>
  <c r="C9" i="4"/>
  <c r="B9" i="4"/>
  <c r="I9" i="4" s="1"/>
  <c r="E8" i="4"/>
  <c r="D8" i="4"/>
  <c r="C8" i="4"/>
  <c r="B8" i="4"/>
  <c r="I8" i="4" s="1"/>
  <c r="I7" i="4"/>
  <c r="D7" i="4"/>
  <c r="C7" i="4"/>
  <c r="B7" i="4"/>
  <c r="C6" i="4"/>
  <c r="B6" i="4"/>
  <c r="I6" i="4" s="1"/>
  <c r="B5" i="4"/>
  <c r="I4" i="4"/>
  <c r="I46" i="3"/>
  <c r="I45" i="3"/>
  <c r="I44" i="3"/>
  <c r="I43" i="3"/>
  <c r="I42" i="3"/>
  <c r="K41" i="3" a="1"/>
  <c r="K41" i="3" s="1"/>
  <c r="I41" i="3"/>
  <c r="I40" i="3"/>
  <c r="I37" i="3"/>
  <c r="I36" i="3"/>
  <c r="I35" i="3"/>
  <c r="I34" i="3"/>
  <c r="I33" i="3"/>
  <c r="K32" i="3" a="1"/>
  <c r="K32" i="3" s="1"/>
  <c r="I32" i="3"/>
  <c r="I31" i="3"/>
  <c r="I28" i="3"/>
  <c r="I27" i="3"/>
  <c r="I26" i="3"/>
  <c r="I25" i="3"/>
  <c r="I24" i="3"/>
  <c r="K23" i="3" a="1"/>
  <c r="K23" i="3"/>
  <c r="I23" i="3"/>
  <c r="K24" i="3" s="1"/>
  <c r="I22" i="3"/>
  <c r="K22" i="3" s="1"/>
  <c r="I19" i="3"/>
  <c r="I18" i="3"/>
  <c r="I17" i="3"/>
  <c r="I16" i="3"/>
  <c r="K15" i="3"/>
  <c r="I15" i="3"/>
  <c r="K14" i="3" a="1"/>
  <c r="K14" i="3" s="1"/>
  <c r="I14" i="3"/>
  <c r="I13" i="3"/>
  <c r="K13" i="3" s="1"/>
  <c r="I10" i="3"/>
  <c r="I9" i="3"/>
  <c r="I8" i="3"/>
  <c r="I7" i="3"/>
  <c r="I6" i="3"/>
  <c r="K5" i="3" a="1"/>
  <c r="K5" i="3" s="1"/>
  <c r="I5" i="3"/>
  <c r="I4" i="3"/>
  <c r="G46" i="2"/>
  <c r="F46" i="2"/>
  <c r="E46" i="2"/>
  <c r="D46" i="2"/>
  <c r="C46" i="2"/>
  <c r="I46" i="2" s="1"/>
  <c r="B46" i="2"/>
  <c r="I45" i="2"/>
  <c r="F45" i="2"/>
  <c r="E45" i="2"/>
  <c r="D45" i="2"/>
  <c r="C45" i="2"/>
  <c r="B45" i="2"/>
  <c r="E44" i="2"/>
  <c r="D44" i="2"/>
  <c r="C44" i="2"/>
  <c r="B44" i="2"/>
  <c r="I44" i="2" s="1"/>
  <c r="D43" i="2"/>
  <c r="C43" i="2"/>
  <c r="I43" i="2" s="1"/>
  <c r="B43" i="2"/>
  <c r="C42" i="2"/>
  <c r="B42" i="2"/>
  <c r="I42" i="2" s="1"/>
  <c r="B41" i="2"/>
  <c r="I40" i="2"/>
  <c r="G37" i="2"/>
  <c r="F37" i="2"/>
  <c r="I37" i="2" s="1"/>
  <c r="E37" i="2"/>
  <c r="D37" i="2"/>
  <c r="C37" i="2"/>
  <c r="B37" i="2"/>
  <c r="F36" i="2"/>
  <c r="E36" i="2"/>
  <c r="D36" i="2"/>
  <c r="C36" i="2"/>
  <c r="B36" i="2"/>
  <c r="I36" i="2" s="1"/>
  <c r="E35" i="2"/>
  <c r="D35" i="2"/>
  <c r="C35" i="2"/>
  <c r="B35" i="2"/>
  <c r="I35" i="2" s="1"/>
  <c r="I34" i="2"/>
  <c r="D34" i="2"/>
  <c r="C34" i="2"/>
  <c r="B34" i="2"/>
  <c r="C33" i="2"/>
  <c r="B33" i="2"/>
  <c r="I33" i="2" s="1"/>
  <c r="B32" i="2"/>
  <c r="I31" i="2"/>
  <c r="I28" i="2"/>
  <c r="G28" i="2"/>
  <c r="F28" i="2"/>
  <c r="E28" i="2"/>
  <c r="D28" i="2"/>
  <c r="C28" i="2"/>
  <c r="B28" i="2"/>
  <c r="I27" i="2"/>
  <c r="F27" i="2"/>
  <c r="E27" i="2"/>
  <c r="D27" i="2"/>
  <c r="C27" i="2"/>
  <c r="B27" i="2"/>
  <c r="E26" i="2"/>
  <c r="D26" i="2"/>
  <c r="I26" i="2" s="1"/>
  <c r="C26" i="2"/>
  <c r="B26" i="2"/>
  <c r="D25" i="2"/>
  <c r="C25" i="2"/>
  <c r="B25" i="2"/>
  <c r="I25" i="2" s="1"/>
  <c r="C24" i="2"/>
  <c r="B24" i="2"/>
  <c r="I24" i="2" s="1"/>
  <c r="B23" i="2"/>
  <c r="I22" i="2"/>
  <c r="G19" i="2"/>
  <c r="F19" i="2"/>
  <c r="E19" i="2"/>
  <c r="D19" i="2"/>
  <c r="C19" i="2"/>
  <c r="B19" i="2"/>
  <c r="I19" i="2" s="1"/>
  <c r="F18" i="2"/>
  <c r="E18" i="2"/>
  <c r="D18" i="2"/>
  <c r="C18" i="2"/>
  <c r="B18" i="2"/>
  <c r="I18" i="2" s="1"/>
  <c r="E17" i="2"/>
  <c r="D17" i="2"/>
  <c r="C17" i="2"/>
  <c r="B17" i="2"/>
  <c r="I17" i="2" s="1"/>
  <c r="D16" i="2"/>
  <c r="C16" i="2"/>
  <c r="B16" i="2"/>
  <c r="I16" i="2" s="1"/>
  <c r="C15" i="2"/>
  <c r="B15" i="2"/>
  <c r="I15" i="2" s="1"/>
  <c r="K15" i="2" s="1"/>
  <c r="I14" i="2"/>
  <c r="B14" i="2"/>
  <c r="K14" i="2" s="1" a="1"/>
  <c r="K14" i="2" s="1"/>
  <c r="I13" i="2"/>
  <c r="K13" i="2" s="1"/>
  <c r="G10" i="2"/>
  <c r="F10" i="2"/>
  <c r="E10" i="2"/>
  <c r="D10" i="2"/>
  <c r="C10" i="2"/>
  <c r="B10" i="2"/>
  <c r="I10" i="2" s="1"/>
  <c r="F9" i="2"/>
  <c r="E9" i="2"/>
  <c r="D9" i="2"/>
  <c r="I9" i="2" s="1"/>
  <c r="C9" i="2"/>
  <c r="B9" i="2"/>
  <c r="E8" i="2"/>
  <c r="D8" i="2"/>
  <c r="C8" i="2"/>
  <c r="B8" i="2"/>
  <c r="I8" i="2" s="1"/>
  <c r="D7" i="2"/>
  <c r="C7" i="2"/>
  <c r="B7" i="2"/>
  <c r="I7" i="2" s="1"/>
  <c r="I6" i="2"/>
  <c r="C6" i="2"/>
  <c r="B6" i="2"/>
  <c r="B5" i="2"/>
  <c r="I4" i="2"/>
  <c r="I46" i="1"/>
  <c r="I45" i="1"/>
  <c r="I44" i="1"/>
  <c r="I43" i="1"/>
  <c r="I42" i="1"/>
  <c r="K42" i="1" s="1"/>
  <c r="K41" i="1" a="1"/>
  <c r="K41" i="1"/>
  <c r="I41" i="1"/>
  <c r="I40" i="1"/>
  <c r="K40" i="1" s="1"/>
  <c r="G37" i="1"/>
  <c r="F37" i="1"/>
  <c r="E37" i="1"/>
  <c r="D37" i="1"/>
  <c r="C37" i="1"/>
  <c r="B37" i="1"/>
  <c r="I37" i="1" s="1"/>
  <c r="F36" i="1"/>
  <c r="E36" i="1"/>
  <c r="D36" i="1"/>
  <c r="C36" i="1"/>
  <c r="I36" i="1" s="1"/>
  <c r="B36" i="1"/>
  <c r="E35" i="1"/>
  <c r="D35" i="1"/>
  <c r="C35" i="1"/>
  <c r="B35" i="1"/>
  <c r="I35" i="1" s="1"/>
  <c r="D34" i="1"/>
  <c r="C34" i="1"/>
  <c r="B34" i="1"/>
  <c r="I34" i="1" s="1"/>
  <c r="C33" i="1"/>
  <c r="B33" i="1"/>
  <c r="I33" i="1" s="1"/>
  <c r="B32" i="1"/>
  <c r="I31" i="1"/>
  <c r="I28" i="1"/>
  <c r="I27" i="1"/>
  <c r="I26" i="1"/>
  <c r="I25" i="1"/>
  <c r="I24" i="1"/>
  <c r="K23" i="1" a="1"/>
  <c r="K23" i="1" s="1"/>
  <c r="I23" i="1"/>
  <c r="K22" i="1"/>
  <c r="I22" i="1"/>
  <c r="K24" i="1" s="1"/>
  <c r="G19" i="1"/>
  <c r="F19" i="1"/>
  <c r="E19" i="1"/>
  <c r="D19" i="1"/>
  <c r="C19" i="1"/>
  <c r="B19" i="1"/>
  <c r="I19" i="1" s="1"/>
  <c r="F18" i="1"/>
  <c r="E18" i="1"/>
  <c r="D18" i="1"/>
  <c r="C18" i="1"/>
  <c r="B18" i="1"/>
  <c r="E17" i="1"/>
  <c r="D17" i="1"/>
  <c r="C17" i="1"/>
  <c r="B17" i="1"/>
  <c r="I17" i="1" s="1"/>
  <c r="D16" i="1"/>
  <c r="C16" i="1"/>
  <c r="B16" i="1"/>
  <c r="I16" i="1" s="1"/>
  <c r="C15" i="1"/>
  <c r="B15" i="1"/>
  <c r="I15" i="1" s="1"/>
  <c r="B14" i="1"/>
  <c r="I14" i="1" s="1"/>
  <c r="I13" i="1"/>
  <c r="I10" i="1"/>
  <c r="I9" i="1"/>
  <c r="I8" i="1"/>
  <c r="I7" i="1"/>
  <c r="K6" i="1"/>
  <c r="I6" i="1"/>
  <c r="K5" i="1" a="1"/>
  <c r="K5" i="1"/>
  <c r="I5" i="1"/>
  <c r="I4" i="1"/>
  <c r="K4" i="1" s="1"/>
  <c r="K22" i="4" l="1"/>
  <c r="K24" i="4"/>
  <c r="I5" i="4"/>
  <c r="K5" i="4" a="1"/>
  <c r="K5" i="4" s="1"/>
  <c r="K40" i="3"/>
  <c r="K42" i="3"/>
  <c r="K31" i="3"/>
  <c r="K33" i="3"/>
  <c r="K4" i="3"/>
  <c r="K6" i="3"/>
  <c r="I41" i="2"/>
  <c r="K41" i="2" a="1"/>
  <c r="K41" i="2" s="1"/>
  <c r="I32" i="2"/>
  <c r="K32" i="2" a="1"/>
  <c r="K32" i="2" s="1"/>
  <c r="I23" i="2"/>
  <c r="K23" i="2" a="1"/>
  <c r="K23" i="2" s="1"/>
  <c r="I5" i="2"/>
  <c r="K5" i="2" a="1"/>
  <c r="K5" i="2" s="1"/>
  <c r="K4" i="2"/>
  <c r="K6" i="2"/>
  <c r="K32" i="1" a="1"/>
  <c r="K32" i="1" s="1"/>
  <c r="I32" i="1"/>
  <c r="I18" i="1"/>
  <c r="K14" i="1" a="1"/>
  <c r="K14" i="1" s="1"/>
  <c r="K42" i="4"/>
  <c r="K4" i="4" l="1"/>
  <c r="K6" i="4"/>
  <c r="K40" i="2"/>
  <c r="K42" i="2"/>
  <c r="K31" i="2"/>
  <c r="K33" i="2"/>
  <c r="K22" i="2"/>
  <c r="K24" i="2"/>
  <c r="K31" i="1"/>
  <c r="K33" i="1"/>
  <c r="K13" i="1"/>
  <c r="K15" i="1"/>
</calcChain>
</file>

<file path=xl/sharedStrings.xml><?xml version="1.0" encoding="utf-8"?>
<sst xmlns="http://schemas.openxmlformats.org/spreadsheetml/2006/main" count="1636" uniqueCount="272">
  <si>
    <t>Chance for column A to win vs columns B and on in a one-zone melee fight</t>
  </si>
  <si>
    <t>1v1</t>
  </si>
  <si>
    <t>Nail</t>
  </si>
  <si>
    <t>Skeleton</t>
  </si>
  <si>
    <t>Elf Scout</t>
  </si>
  <si>
    <t>Acolyte</t>
  </si>
  <si>
    <t>Zombie</t>
  </si>
  <si>
    <t>Hammer</t>
  </si>
  <si>
    <t>Ranger</t>
  </si>
  <si>
    <t>ElfScout</t>
  </si>
  <si>
    <t>average</t>
  </si>
  <si>
    <t>Attack</t>
  </si>
  <si>
    <t>-</t>
  </si>
  <si>
    <t>unit avg variance</t>
  </si>
  <si>
    <t>HP</t>
  </si>
  <si>
    <t>avg dist from .5</t>
  </si>
  <si>
    <t>Armor</t>
  </si>
  <si>
    <t>unit avg range</t>
  </si>
  <si>
    <t>Attack Priority</t>
  </si>
  <si>
    <t>Evade</t>
  </si>
  <si>
    <t>Evade Ranged</t>
  </si>
  <si>
    <t>Pierce</t>
  </si>
  <si>
    <t>no</t>
  </si>
  <si>
    <t>2v2</t>
  </si>
  <si>
    <t>3v3</t>
  </si>
  <si>
    <t>4v4</t>
  </si>
  <si>
    <t>6v6</t>
  </si>
  <si>
    <t>yes</t>
  </si>
  <si>
    <t>Balance State</t>
  </si>
  <si>
    <t>Team Size</t>
  </si>
  <si>
    <t>Balance Score (higher better)</t>
  </si>
  <si>
    <t>Playable Matchups % (higher better)</t>
  </si>
  <si>
    <t>Close Matchups % (higher better)</t>
  </si>
  <si>
    <t>Stomp Matchups % (lower better)</t>
  </si>
  <si>
    <t>Power Spread (lower better)</t>
  </si>
  <si>
    <t>Power StdDev (lower better)</t>
  </si>
  <si>
    <t>Highest-Power Unit in This Size</t>
  </si>
  <si>
    <t>Lowest-Power Unit in This Size</t>
  </si>
  <si>
    <t>Low Median</t>
  </si>
  <si>
    <t>Main pre-v0.3.3</t>
  </si>
  <si>
    <t>Nod's Final</t>
  </si>
  <si>
    <t>Main v0.3.11.4021</t>
  </si>
  <si>
    <t>Section</t>
  </si>
  <si>
    <t>Priority</t>
  </si>
  <si>
    <t>Item</t>
  </si>
  <si>
    <t>Value</t>
  </si>
  <si>
    <t>Benchmark or Companion Value</t>
  </si>
  <si>
    <t>Reading</t>
  </si>
  <si>
    <t>Current patch health</t>
  </si>
  <si>
    <t>Average Balance Score</t>
  </si>
  <si>
    <t>Nod's Final: 36.6</t>
  </si>
  <si>
    <t>Higher is better. Current patch is the lowest-scoring state in this workbook.</t>
  </si>
  <si>
    <t>Average Playable Percent</t>
  </si>
  <si>
    <t>Playable band is 35 to 65 winrate</t>
  </si>
  <si>
    <t>Only a small share of matchups are in the broad viable range.</t>
  </si>
  <si>
    <t>Average Stomp Percent</t>
  </si>
  <si>
    <t>Lower is better</t>
  </si>
  <si>
    <t>Most current-patch matchups are 90/10 or worse for one side.</t>
  </si>
  <si>
    <t>Average Power Spread</t>
  </si>
  <si>
    <t>The strongest-to-weakest unit gap is very wide.</t>
  </si>
  <si>
    <t>Current patch outlier</t>
  </si>
  <si>
    <t>Strongest unit</t>
  </si>
  <si>
    <t>Power 0.939</t>
  </si>
  <si>
    <t>Hammer is the primary high-power outlier.</t>
  </si>
  <si>
    <t>Weakest unit</t>
  </si>
  <si>
    <t>Power 0.025</t>
  </si>
  <si>
    <t>Ranger is the primary low-power outlier.</t>
  </si>
  <si>
    <t>Largest unit scale change</t>
  </si>
  <si>
    <t>Scaling delta 0.596</t>
  </si>
  <si>
    <t>Acolyte is heavily size-sensitive.</t>
  </si>
  <si>
    <t>Current patch matchup</t>
  </si>
  <si>
    <t>Largest pair swing</t>
  </si>
  <si>
    <t>Skeleton vs Acolyte</t>
  </si>
  <si>
    <t>Range 0.999</t>
  </si>
  <si>
    <t>Skeleton vs Acolyte changes favored side across team sizes; tune with size-specific caution.</t>
  </si>
  <si>
    <t>Second largest pair swing</t>
  </si>
  <si>
    <t>ElfScout vs Acolyte</t>
  </si>
  <si>
    <t>Range 0.974</t>
  </si>
  <si>
    <t>ElfScout vs Acolyte changes favored side across team sizes; tune with size-specific caution.</t>
  </si>
  <si>
    <t>Navigation</t>
  </si>
  <si>
    <t>Patch Summary</t>
  </si>
  <si>
    <t>One row per balance state</t>
  </si>
  <si>
    <t>Best first comparison table</t>
  </si>
  <si>
    <t>Use this sheet to compare overall state health.</t>
  </si>
  <si>
    <t>Current Unit Ranking</t>
  </si>
  <si>
    <t>Sorted current patch unit table</t>
  </si>
  <si>
    <t>Includes interpretation column</t>
  </si>
  <si>
    <t>Use this sheet to identify unit-level action items.</t>
  </si>
  <si>
    <t>Current Pair Swings</t>
  </si>
  <si>
    <t>Sorted current patch pair table</t>
  </si>
  <si>
    <t>Largest range first</t>
  </si>
  <si>
    <t>Use this sheet to identify scale-specific counters.</t>
  </si>
  <si>
    <t>State</t>
  </si>
  <si>
    <t>Unit</t>
  </si>
  <si>
    <t>1v1 Power</t>
  </si>
  <si>
    <t>2v2 Power</t>
  </si>
  <si>
    <t>3v3 Power</t>
  </si>
  <si>
    <t>4v4 Power</t>
  </si>
  <si>
    <t>6v6 Power</t>
  </si>
  <si>
    <t>Average Power</t>
  </si>
  <si>
    <t>Scaling Delta</t>
  </si>
  <si>
    <t>Volatility</t>
  </si>
  <si>
    <t>Favorable Count</t>
  </si>
  <si>
    <t>Even Count</t>
  </si>
  <si>
    <t>Unfavorable Count</t>
  </si>
  <si>
    <t>Stomps For</t>
  </si>
  <si>
    <t>Stomps Against</t>
  </si>
  <si>
    <t>Pair</t>
  </si>
  <si>
    <t>1v1 Winrate</t>
  </si>
  <si>
    <t>2v2 Winrate</t>
  </si>
  <si>
    <t>3v3 Winrate</t>
  </si>
  <si>
    <t>4v4 Winrate</t>
  </si>
  <si>
    <t>6v6 Winrate</t>
  </si>
  <si>
    <t>Pair Range</t>
  </si>
  <si>
    <t>6v6 Minus 1v1</t>
  </si>
  <si>
    <t>Crosses 50 Percent</t>
  </si>
  <si>
    <t>ElfScout vs Nail</t>
  </si>
  <si>
    <t>ElfScout vs Skeleton</t>
  </si>
  <si>
    <t>ElfScout vs Hammer</t>
  </si>
  <si>
    <t>ElfScout vs Ranger</t>
  </si>
  <si>
    <t>ElfScout vs Zombie</t>
  </si>
  <si>
    <t>Nail vs Skeleton</t>
  </si>
  <si>
    <t>Nail vs Hammer</t>
  </si>
  <si>
    <t>Nail vs Ranger</t>
  </si>
  <si>
    <t>Nail vs Acolyte</t>
  </si>
  <si>
    <t>Nail vs Zombie</t>
  </si>
  <si>
    <t>Skeleton vs Hammer</t>
  </si>
  <si>
    <t>Skeleton vs Ranger</t>
  </si>
  <si>
    <t>Skeleton vs Zombie</t>
  </si>
  <si>
    <t>Hammer vs Ranger</t>
  </si>
  <si>
    <t>Hammer vs Acolyte</t>
  </si>
  <si>
    <t>Hammer vs Zombie</t>
  </si>
  <si>
    <t>Ranger vs Acolyte</t>
  </si>
  <si>
    <t>Ranger vs Zombie</t>
  </si>
  <si>
    <t>Acolyte vs Zombie</t>
  </si>
  <si>
    <t>Topic</t>
  </si>
  <si>
    <t>Guidance</t>
  </si>
  <si>
    <t>Workbook purpose</t>
  </si>
  <si>
    <t>Compare Vanguard Exiles unit balance states using simulated repeated-unit matchups.</t>
  </si>
  <si>
    <t>Accessibility structure</t>
  </si>
  <si>
    <t>Analysis sheets are plain tables that start at A1 with one header row and no blank rows or columns inside the table.</t>
  </si>
  <si>
    <t>Screen reader order</t>
  </si>
  <si>
    <t>Start with Accessibility Guide, Metric Definitions, Patch Summary, Block Balance, Unit Metrics, and Pair Scaling.</t>
  </si>
  <si>
    <t>Visual encoding</t>
  </si>
  <si>
    <t>No analysis result depends on color, charts, shapes, images, or merged cells.</t>
  </si>
  <si>
    <t>Raw data</t>
  </si>
  <si>
    <t>Original matchup sheets are preserved for audit. Analysis sheets are derived from the matchup matrices.</t>
  </si>
  <si>
    <t>Percent values</t>
  </si>
  <si>
    <t>Percent-like metrics are stored as 0 to 100 values, not Excel percentage formatting, so screen readers announce the number directly.</t>
  </si>
  <si>
    <t>Win rates</t>
  </si>
  <si>
    <t>Win rates and power metrics are stored as 0 to 1 values, where 0.5 means an even matchup.</t>
  </si>
  <si>
    <t>Thresholds</t>
  </si>
  <si>
    <t>Playable means 35 to 65 win rate. Close means 45 to 55 win rate. Stomp means one side has 10 percent win rate or less.</t>
  </si>
  <si>
    <t>Readable sheets</t>
  </si>
  <si>
    <t>Balance Dashboard, Current Unit Ranking, and Current Pair Swings add interpretation text so the workbook is easier to scan without relying on color or charts.</t>
  </si>
  <si>
    <t>Formatting</t>
  </si>
  <si>
    <t>Analysis sheets use high-contrast headers, wrapped text, and table borders. All information remains available as text.</t>
  </si>
  <si>
    <t>Metric</t>
  </si>
  <si>
    <t>Calculation</t>
  </si>
  <si>
    <t>Higher Means</t>
  </si>
  <si>
    <t>Lower Means</t>
  </si>
  <si>
    <t>Notes</t>
  </si>
  <si>
    <t>Balance Score</t>
  </si>
  <si>
    <t>Average of 1 - 2 * absolute(winrate - 0.5), multiplied by 100 across unordered pairs.</t>
  </si>
  <si>
    <t>More matchups near 50/50.</t>
  </si>
  <si>
    <t>More hard counters or deterministic matchups.</t>
  </si>
  <si>
    <t>Standard pairwise fairness score adapted to win-rate matrices.</t>
  </si>
  <si>
    <t>Playable %</t>
  </si>
  <si>
    <t>Percent of unordered matchups with winrate from 0.35 to 0.65.</t>
  </si>
  <si>
    <t>More matchups likely feel viable.</t>
  </si>
  <si>
    <t>More matchup-specific non-games.</t>
  </si>
  <si>
    <t>Wider than Close % because not every matchup needs to be exactly even.</t>
  </si>
  <si>
    <t>Close %</t>
  </si>
  <si>
    <t>Percent of unordered matchups with winrate from 0.45 to 0.55.</t>
  </si>
  <si>
    <t>More matchups are nearly even.</t>
  </si>
  <si>
    <t>Fewer matchups are tightly balanced.</t>
  </si>
  <si>
    <t>Strict balance band.</t>
  </si>
  <si>
    <t>Stomp %</t>
  </si>
  <si>
    <t>Percent of unordered matchups with winrate at 0.10 or lower, or 0.90 or higher.</t>
  </si>
  <si>
    <t>More severe hard-counter outcomes.</t>
  </si>
  <si>
    <t>Fewer extreme outcomes.</t>
  </si>
  <si>
    <t>Lower is better.</t>
  </si>
  <si>
    <t>Power Spread</t>
  </si>
  <si>
    <t>Strongest unit power index minus weakest unit power index within one size block.</t>
  </si>
  <si>
    <t>A larger gap between best and worst unit.</t>
  </si>
  <si>
    <t>A tighter power band.</t>
  </si>
  <si>
    <t>Lower is better for global unit parity.</t>
  </si>
  <si>
    <t>Power StdDev</t>
  </si>
  <si>
    <t>Population standard deviation of unit power indices within one size block.</t>
  </si>
  <si>
    <t>Unit power is more uneven.</t>
  </si>
  <si>
    <t>Unit power is more clustered.</t>
  </si>
  <si>
    <t>Power Index</t>
  </si>
  <si>
    <t>Average winrate for one unit across all non-mirror opponents.</t>
  </si>
  <si>
    <t>The unit wins more matchups overall.</t>
  </si>
  <si>
    <t>The unit loses more matchups overall.</t>
  </si>
  <si>
    <t>Shown per unit and per team size.</t>
  </si>
  <si>
    <t>Unit 6v6 power index minus its 1v1 power index.</t>
  </si>
  <si>
    <t>The unit improves as team size grows.</t>
  </si>
  <si>
    <t>The unit falls off as team size grows.</t>
  </si>
  <si>
    <t>Large absolute values indicate size sensitivity.</t>
  </si>
  <si>
    <t>Standard deviation of a unit's winrates across all shown matchups and sizes.</t>
  </si>
  <si>
    <t>The unit is matchup-polarized.</t>
  </si>
  <si>
    <t>The unit is consistent.</t>
  </si>
  <si>
    <t>A consistently weak unit can have low volatility.</t>
  </si>
  <si>
    <t>Fav Even Unfav</t>
  </si>
  <si>
    <t>Counts of unit outcomes over 55 percent, 45 to 55 percent, and under 45 percent.</t>
  </si>
  <si>
    <t>More favorable matchups.</t>
  </si>
  <si>
    <t>More unfavorable matchups.</t>
  </si>
  <si>
    <t>30 total outcomes per unit for five sizes and six opponents.</t>
  </si>
  <si>
    <t>Stomps For Against</t>
  </si>
  <si>
    <t>Counts of unit outcomes at 90 percent or higher, and 10 percent or lower.</t>
  </si>
  <si>
    <t>More extreme wins.</t>
  </si>
  <si>
    <t>More extreme losses.</t>
  </si>
  <si>
    <t>30 total outcomes per unit.</t>
  </si>
  <si>
    <t>Maximum pair winrate across sizes minus minimum pair winrate across sizes.</t>
  </si>
  <si>
    <t>The matchup changes heavily with team size.</t>
  </si>
  <si>
    <t>The matchup is stable across team sizes.</t>
  </si>
  <si>
    <t>Shown on Pair Scaling.</t>
  </si>
  <si>
    <t>Crosses 50%</t>
  </si>
  <si>
    <t>Whether the pair changes favored side across sizes.</t>
  </si>
  <si>
    <t>The counter relationship flips by size.</t>
  </si>
  <si>
    <t>The favored side is stable.</t>
  </si>
  <si>
    <t>Useful for identifying scale breakpoints.</t>
  </si>
  <si>
    <t>Average Power StdDev</t>
  </si>
  <si>
    <t>Most Common Strongest Unit</t>
  </si>
  <si>
    <t>Most Common Weakest Unit</t>
  </si>
  <si>
    <t>Overall Reading</t>
  </si>
  <si>
    <t>Reference balance state.</t>
  </si>
  <si>
    <t>Best overall balance score among compared states.</t>
  </si>
  <si>
    <t>Current patch has the lowest average balance score and highest stomp percent.</t>
  </si>
  <si>
    <t>Size</t>
  </si>
  <si>
    <t>Playable Percent</t>
  </si>
  <si>
    <t>Close Percent</t>
  </si>
  <si>
    <t>Stomp Percent</t>
  </si>
  <si>
    <t>Strongest Unit</t>
  </si>
  <si>
    <t>Weakest Unit</t>
  </si>
  <si>
    <t>Rank</t>
  </si>
  <si>
    <t>Power Tier</t>
  </si>
  <si>
    <t>Favorable</t>
  </si>
  <si>
    <t>Even</t>
  </si>
  <si>
    <t>Unfavorable</t>
  </si>
  <si>
    <t>Interpretation</t>
  </si>
  <si>
    <t>Overperforming</t>
  </si>
  <si>
    <t>Hammer is globally high power and should be checked before broad buffs.</t>
  </si>
  <si>
    <t>ElfScout is globally high power and should be checked before broad buffs.</t>
  </si>
  <si>
    <t>Polarized</t>
  </si>
  <si>
    <t>Nail is counter-polarized; average power hides sharp matchup swings.</t>
  </si>
  <si>
    <t>Skeleton is counter-polarized; average power hides sharp matchup swings.</t>
  </si>
  <si>
    <t>Zombie sits closer to the middle than the major outliers.</t>
  </si>
  <si>
    <t>Scale-sensitive</t>
  </si>
  <si>
    <t>Acolyte gains heavily with team size; review larger fights separately from small fights.</t>
  </si>
  <si>
    <t>Underperforming</t>
  </si>
  <si>
    <t>Ranger is globally low power and needs matchup-specific help.</t>
  </si>
  <si>
    <t>Nail vs Zombie changes favored side across team sizes; tune with size-specific caution.</t>
  </si>
  <si>
    <t>Hammer vs Acolyte changes favored side across team sizes; tune with size-specific caution.</t>
  </si>
  <si>
    <t>Acolyte vs Zombie changes favored side across team sizes; tune with size-specific caution.</t>
  </si>
  <si>
    <t>ElfScout vs Zombie is comparatively stable across team sizes.</t>
  </si>
  <si>
    <t>Ranger vs Acolyte is comparatively stable across team sizes.</t>
  </si>
  <si>
    <t>Ranger vs Zombie is comparatively stable across team sizes.</t>
  </si>
  <si>
    <t>Nail vs Acolyte is comparatively stable across team sizes.</t>
  </si>
  <si>
    <t>ElfScout vs Hammer is comparatively stable across team sizes.</t>
  </si>
  <si>
    <t>Skeleton vs Zombie is comparatively stable across team sizes.</t>
  </si>
  <si>
    <t>ElfScout vs Ranger is comparatively stable across team sizes.</t>
  </si>
  <si>
    <t>ElfScout vs Nail is comparatively stable across team sizes.</t>
  </si>
  <si>
    <t>ElfScout vs Skeleton is comparatively stable across team sizes.</t>
  </si>
  <si>
    <t>Hammer vs Ranger is comparatively stable across team sizes.</t>
  </si>
  <si>
    <t>Nail vs Hammer is comparatively stable across team sizes.</t>
  </si>
  <si>
    <t>Skeleton vs Hammer is comparatively stable across team sizes.</t>
  </si>
  <si>
    <t>Hammer vs Zombie is comparatively stable across team sizes.</t>
  </si>
  <si>
    <t>Skeleton vs Ranger is comparatively stable across team sizes.</t>
  </si>
  <si>
    <t>Nail vs Skeleton is comparatively stable across team sizes.</t>
  </si>
  <si>
    <t>Nail vs Ranger is comparatively stable across team sizes.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</si>
</sst>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0"/>
      <color rgb="FF000000"/>
      <name val="Arial"/>
    </font>
    <font>
      <sz val="10"/>
      <color rgb="FF111827"/>
      <name val="Arial"/>
    </font>
    <font>
      <sz val="11"/>
      <color rgb="FF111827"/>
      <name val="Aptos"/>
    </font>
    <font>
      <b/>
      <sz val="11"/>
      <color rgb="FF111827"/>
      <name val="Aptos"/>
    </font>
    <font>
      <b/>
      <sz val="11"/>
      <color rgb="FF374151"/>
      <name val="Aptos"/>
    </font>
    <font>
      <sz val="11"/>
      <color rgb="FF374151"/>
      <name val="Aptos"/>
    </font>
    <font>
      <b/>
      <sz val="16"/>
      <color rgb="FF111827"/>
      <name val="Aptos Display"/>
    </font>
    <font>
      <b/>
      <sz val="14"/>
      <color rgb="FF111827"/>
      <name val="Aptos Display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AFC4D6"/>
      </left>
      <right style="thin">
        <color rgb="FFAFC4D6"/>
      </right>
      <top style="thin">
        <color rgb="FFAFC4D6"/>
      </top>
      <bottom style="thin">
        <color rgb="FFAFC4D6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4" fontId="1" fillId="0" borderId="0" xfId="0" applyNumberFormat="1" applyFont="1"/>
    <xf numFmtId="1" fontId="1" fillId="0" borderId="0" xfId="0" applyNumberFormat="1" applyFont="1"/>
    <xf numFmtId="0" fontId="1" fillId="0" borderId="0" xfId="0" applyFont="1" applyAlignment="1">
      <alignment horizontal="right"/>
    </xf>
    <xf numFmtId="165" fontId="1" fillId="0" borderId="0" xfId="0" applyNumberFormat="1" applyFont="1" applyAlignment="1">
      <alignment horizontal="left"/>
    </xf>
    <xf numFmtId="2" fontId="1" fillId="0" borderId="0" xfId="0" applyNumberFormat="1" applyFont="1"/>
    <xf numFmtId="0" fontId="1" fillId="0" borderId="1" xfId="0" applyFont="1" applyBorder="1"/>
    <xf numFmtId="4" fontId="1" fillId="0" borderId="2" xfId="0" applyNumberFormat="1" applyFont="1" applyBorder="1"/>
    <xf numFmtId="4" fontId="1" fillId="0" borderId="3" xfId="0" applyNumberFormat="1" applyFont="1" applyBorder="1"/>
    <xf numFmtId="0" fontId="2" fillId="0" borderId="4" xfId="0" applyFont="1" applyBorder="1" applyAlignment="1">
      <alignment vertical="top" wrapText="1"/>
    </xf>
    <xf numFmtId="0" fontId="3" fillId="2" borderId="5" xfId="0" applyFont="1" applyFill="1" applyBorder="1" applyAlignment="1">
      <alignment vertical="center" wrapText="1"/>
    </xf>
    <xf numFmtId="165" fontId="2" fillId="0" borderId="4" xfId="0" applyNumberFormat="1" applyFont="1" applyBorder="1" applyAlignment="1">
      <alignment vertical="top" wrapText="1"/>
    </xf>
    <xf numFmtId="0" fontId="5" fillId="0" borderId="6" xfId="0" applyFont="1" applyBorder="1" applyAlignment="1">
      <alignment horizontal="left" vertical="top" wrapText="1"/>
    </xf>
    <xf numFmtId="1" fontId="5" fillId="0" borderId="6" xfId="0" applyNumberFormat="1" applyFont="1" applyBorder="1" applyAlignment="1">
      <alignment horizontal="left" vertical="top" wrapText="1"/>
    </xf>
    <xf numFmtId="164" fontId="5" fillId="0" borderId="6" xfId="0" applyNumberFormat="1" applyFont="1" applyBorder="1" applyAlignment="1">
      <alignment horizontal="left" vertical="top" wrapText="1"/>
    </xf>
    <xf numFmtId="0" fontId="3" fillId="0" borderId="6" xfId="0" applyFont="1" applyBorder="1" applyAlignment="1">
      <alignment horizontal="center" vertical="center" wrapText="1"/>
    </xf>
    <xf numFmtId="1" fontId="3" fillId="0" borderId="6" xfId="0" applyNumberFormat="1" applyFont="1" applyBorder="1" applyAlignment="1">
      <alignment horizontal="center" vertical="center" wrapText="1"/>
    </xf>
    <xf numFmtId="164" fontId="3" fillId="0" borderId="6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left" vertical="center" wrapText="1"/>
    </xf>
    <xf numFmtId="165" fontId="5" fillId="0" borderId="6" xfId="0" applyNumberFormat="1" applyFont="1" applyBorder="1" applyAlignment="1">
      <alignment horizontal="left" vertical="top" wrapText="1"/>
    </xf>
    <xf numFmtId="49" fontId="5" fillId="0" borderId="6" xfId="0" applyNumberFormat="1" applyFont="1" applyBorder="1" applyAlignment="1">
      <alignment horizontal="left" vertical="top" wrapText="1"/>
    </xf>
    <xf numFmtId="0" fontId="5" fillId="0" borderId="6" xfId="0" applyFont="1" applyBorder="1" applyAlignment="1">
      <alignment horizontal="center" vertical="center" wrapText="1"/>
    </xf>
    <xf numFmtId="4" fontId="5" fillId="0" borderId="6" xfId="0" applyNumberFormat="1" applyFont="1" applyBorder="1" applyAlignment="1">
      <alignment horizontal="center" vertical="center" wrapText="1"/>
    </xf>
    <xf numFmtId="1" fontId="5" fillId="0" borderId="6" xfId="0" applyNumberFormat="1" applyFont="1" applyBorder="1" applyAlignment="1">
      <alignment horizontal="center" vertical="center" wrapText="1"/>
    </xf>
    <xf numFmtId="165" fontId="5" fillId="0" borderId="6" xfId="0" applyNumberFormat="1" applyFont="1" applyBorder="1" applyAlignment="1">
      <alignment horizontal="center" vertical="center" wrapText="1"/>
    </xf>
    <xf numFmtId="0" fontId="7" fillId="0" borderId="6" xfId="0" applyFont="1" applyBorder="1" applyAlignment="1">
      <alignment horizontal="left" vertical="center" wrapText="1"/>
    </xf>
    <xf numFmtId="4" fontId="7" fillId="0" borderId="6" xfId="0" applyNumberFormat="1" applyFont="1" applyBorder="1" applyAlignment="1">
      <alignment horizontal="left" vertical="center" wrapText="1"/>
    </xf>
    <xf numFmtId="0" fontId="4" fillId="0" borderId="6" xfId="0" applyFont="1" applyBorder="1" applyAlignment="1">
      <alignment horizontal="center" vertical="center" wrapText="1"/>
    </xf>
    <xf numFmtId="4" fontId="4" fillId="0" borderId="6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left" vertical="center" wrapText="1"/>
    </xf>
    <xf numFmtId="165" fontId="4" fillId="0" borderId="6" xfId="0" applyNumberFormat="1" applyFont="1" applyBorder="1" applyAlignment="1">
      <alignment horizontal="center" vertical="center" wrapText="1"/>
    </xf>
    <xf numFmtId="1" fontId="7" fillId="0" borderId="6" xfId="0" applyNumberFormat="1" applyFont="1" applyBorder="1" applyAlignment="1">
      <alignment horizontal="left" vertical="center" wrapText="1"/>
    </xf>
    <xf numFmtId="165" fontId="7" fillId="0" borderId="6" xfId="0" applyNumberFormat="1" applyFont="1" applyBorder="1" applyAlignment="1">
      <alignment horizontal="left" vertical="center" wrapText="1"/>
    </xf>
    <xf numFmtId="0" fontId="5" fillId="0" borderId="7" xfId="0" applyFont="1" applyBorder="1" applyAlignment="1">
      <alignment horizontal="center" vertical="center" wrapText="1"/>
    </xf>
    <xf numFmtId="164" fontId="5" fillId="0" borderId="7" xfId="0" applyNumberFormat="1" applyFont="1" applyBorder="1" applyAlignment="1">
      <alignment horizontal="center" vertical="center" wrapText="1"/>
    </xf>
    <xf numFmtId="165" fontId="5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1" fontId="2" fillId="0" borderId="4" xfId="0" applyNumberFormat="1" applyFont="1" applyBorder="1" applyAlignment="1">
      <alignment horizontal="center" vertical="center" wrapText="1"/>
    </xf>
    <xf numFmtId="165" fontId="2" fillId="0" borderId="4" xfId="0" applyNumberFormat="1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018"/>
  <sheetViews>
    <sheetView tabSelected="1" workbookViewId="0"/>
  </sheetViews>
  <sheetFormatPr defaultColWidth="12.6640625" defaultRowHeight="13.2" x14ac:dyDescent="0.25"/>
  <cols>
    <col min="1" max="1" width="15.88671875" customWidth="1"/>
    <col min="2" max="8" width="11" customWidth="1"/>
    <col min="9" max="9" width="11.88671875" customWidth="1"/>
    <col min="10" max="10" width="17.88671875" customWidth="1"/>
    <col min="11" max="11" width="12.109375" customWidth="1"/>
    <col min="12" max="12" width="3.33203125" customWidth="1"/>
    <col min="13" max="13" width="17.5546875" customWidth="1"/>
    <col min="14" max="15" width="11" customWidth="1"/>
    <col min="16" max="16" width="11.88671875" customWidth="1"/>
    <col min="17" max="20" width="11" customWidth="1"/>
  </cols>
  <sheetData>
    <row r="1" spans="1:20" ht="126" x14ac:dyDescent="0.25">
      <c r="A1" s="25" t="s">
        <v>0</v>
      </c>
      <c r="B1" s="26"/>
      <c r="C1" s="26"/>
      <c r="D1" s="26"/>
      <c r="E1" s="26"/>
      <c r="F1" s="26"/>
      <c r="G1" s="26"/>
      <c r="H1" s="26"/>
      <c r="I1" s="26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</row>
    <row r="2" spans="1:20" ht="14.4" x14ac:dyDescent="0.25">
      <c r="A2" s="37" t="s">
        <v>1</v>
      </c>
      <c r="B2" s="37"/>
      <c r="C2" s="37"/>
      <c r="D2" s="37"/>
      <c r="E2" s="37"/>
      <c r="F2" s="37"/>
      <c r="G2" s="37"/>
      <c r="H2" s="37"/>
      <c r="I2" s="37"/>
      <c r="J2" s="21"/>
      <c r="K2" s="21"/>
      <c r="L2" s="21"/>
      <c r="M2" s="15"/>
      <c r="N2" s="15" t="s">
        <v>2</v>
      </c>
      <c r="O2" s="15" t="s">
        <v>3</v>
      </c>
      <c r="P2" s="15" t="s">
        <v>4</v>
      </c>
      <c r="Q2" s="15" t="s">
        <v>5</v>
      </c>
      <c r="R2" s="15" t="s">
        <v>6</v>
      </c>
      <c r="S2" s="15" t="s">
        <v>7</v>
      </c>
      <c r="T2" s="16" t="s">
        <v>8</v>
      </c>
    </row>
    <row r="3" spans="1:20" ht="14.4" x14ac:dyDescent="0.25">
      <c r="A3" s="27"/>
      <c r="B3" s="28" t="s">
        <v>9</v>
      </c>
      <c r="C3" s="28" t="s">
        <v>2</v>
      </c>
      <c r="D3" s="28" t="s">
        <v>3</v>
      </c>
      <c r="E3" s="28" t="s">
        <v>7</v>
      </c>
      <c r="F3" s="28" t="s">
        <v>8</v>
      </c>
      <c r="G3" s="28" t="s">
        <v>5</v>
      </c>
      <c r="H3" s="28" t="s">
        <v>6</v>
      </c>
      <c r="I3" s="28" t="s">
        <v>10</v>
      </c>
      <c r="J3" s="21"/>
      <c r="K3" s="21"/>
      <c r="L3" s="21"/>
      <c r="M3" s="29" t="s">
        <v>11</v>
      </c>
      <c r="N3" s="30">
        <v>1</v>
      </c>
      <c r="O3" s="30">
        <v>3</v>
      </c>
      <c r="P3" s="30">
        <v>3</v>
      </c>
      <c r="Q3" s="30">
        <v>2</v>
      </c>
      <c r="R3" s="30">
        <v>2</v>
      </c>
      <c r="S3" s="30">
        <v>3</v>
      </c>
      <c r="T3" s="30">
        <v>3</v>
      </c>
    </row>
    <row r="4" spans="1:20" ht="14.4" x14ac:dyDescent="0.25">
      <c r="A4" s="29" t="s">
        <v>9</v>
      </c>
      <c r="B4" s="24" t="s">
        <v>12</v>
      </c>
      <c r="C4" s="24">
        <v>1</v>
      </c>
      <c r="D4" s="24">
        <v>1</v>
      </c>
      <c r="E4" s="24">
        <v>0.19078000000000001</v>
      </c>
      <c r="F4" s="24">
        <v>0.80955999999999995</v>
      </c>
      <c r="G4" s="24">
        <v>1</v>
      </c>
      <c r="H4" s="24">
        <v>1</v>
      </c>
      <c r="I4" s="24">
        <f t="shared" ref="I4:I10" si="0">AVERAGE(B4:H4)</f>
        <v>0.83338999999999996</v>
      </c>
      <c r="J4" s="21" t="s">
        <v>13</v>
      </c>
      <c r="K4" s="24">
        <f>VARP(I4:I10)</f>
        <v>9.9784019505555641E-2</v>
      </c>
      <c r="L4" s="21"/>
      <c r="M4" s="29" t="s">
        <v>14</v>
      </c>
      <c r="N4" s="30">
        <v>8</v>
      </c>
      <c r="O4" s="30">
        <v>5</v>
      </c>
      <c r="P4" s="30">
        <v>5</v>
      </c>
      <c r="Q4" s="30">
        <v>6</v>
      </c>
      <c r="R4" s="30">
        <v>6</v>
      </c>
      <c r="S4" s="30">
        <v>7</v>
      </c>
      <c r="T4" s="30">
        <v>4</v>
      </c>
    </row>
    <row r="5" spans="1:20" ht="14.4" x14ac:dyDescent="0.25">
      <c r="A5" s="29" t="s">
        <v>2</v>
      </c>
      <c r="B5" s="24">
        <v>0</v>
      </c>
      <c r="C5" s="24" t="s">
        <v>12</v>
      </c>
      <c r="D5" s="24">
        <v>0</v>
      </c>
      <c r="E5" s="24">
        <v>0</v>
      </c>
      <c r="F5" s="24">
        <v>0.32841999999999999</v>
      </c>
      <c r="G5" s="24">
        <v>1</v>
      </c>
      <c r="H5" s="24">
        <v>1</v>
      </c>
      <c r="I5" s="24">
        <f t="shared" si="0"/>
        <v>0.38806999999999997</v>
      </c>
      <c r="J5" s="21" t="s">
        <v>15</v>
      </c>
      <c r="K5" s="24">
        <f t="array" ref="K5">AVERAGE(IF(ISNUMBER(B4:H10), ABS(B4:H10-0.5), ""))</f>
        <v>0.43490714285714283</v>
      </c>
      <c r="L5" s="21"/>
      <c r="M5" s="29" t="s">
        <v>16</v>
      </c>
      <c r="N5" s="30">
        <v>1</v>
      </c>
      <c r="O5" s="30"/>
      <c r="P5" s="30"/>
      <c r="Q5" s="30"/>
      <c r="R5" s="30"/>
      <c r="S5" s="30"/>
      <c r="T5" s="30"/>
    </row>
    <row r="6" spans="1:20" ht="14.4" x14ac:dyDescent="0.25">
      <c r="A6" s="29" t="s">
        <v>3</v>
      </c>
      <c r="B6" s="24">
        <v>0</v>
      </c>
      <c r="C6" s="24">
        <v>1</v>
      </c>
      <c r="D6" s="24" t="s">
        <v>12</v>
      </c>
      <c r="E6" s="24">
        <v>0</v>
      </c>
      <c r="F6" s="24">
        <v>0.95082</v>
      </c>
      <c r="G6" s="24">
        <v>1</v>
      </c>
      <c r="H6" s="24">
        <v>1</v>
      </c>
      <c r="I6" s="24">
        <f t="shared" si="0"/>
        <v>0.65847</v>
      </c>
      <c r="J6" s="21" t="s">
        <v>17</v>
      </c>
      <c r="K6" s="24">
        <f>MAX(I4:I10)-MIN(I4:I10)</f>
        <v>0.86684833333333322</v>
      </c>
      <c r="L6" s="21"/>
      <c r="M6" s="29" t="s">
        <v>18</v>
      </c>
      <c r="N6" s="30">
        <v>2</v>
      </c>
      <c r="O6" s="30">
        <v>2</v>
      </c>
      <c r="P6" s="30">
        <v>1</v>
      </c>
      <c r="Q6" s="30">
        <v>3</v>
      </c>
      <c r="R6" s="30">
        <v>3</v>
      </c>
      <c r="S6" s="30">
        <v>2</v>
      </c>
      <c r="T6" s="30">
        <v>2</v>
      </c>
    </row>
    <row r="7" spans="1:20" ht="14.4" x14ac:dyDescent="0.25">
      <c r="A7" s="29" t="s">
        <v>7</v>
      </c>
      <c r="B7" s="24">
        <v>0.80922000000000005</v>
      </c>
      <c r="C7" s="24">
        <v>1</v>
      </c>
      <c r="D7" s="24">
        <v>1</v>
      </c>
      <c r="E7" s="24" t="s">
        <v>12</v>
      </c>
      <c r="F7" s="24">
        <v>0.89054</v>
      </c>
      <c r="G7" s="24">
        <v>1</v>
      </c>
      <c r="H7" s="24">
        <v>1</v>
      </c>
      <c r="I7" s="24">
        <f t="shared" si="0"/>
        <v>0.94995999999999992</v>
      </c>
      <c r="J7" s="21"/>
      <c r="K7" s="21"/>
      <c r="L7" s="21"/>
      <c r="M7" s="29" t="s">
        <v>19</v>
      </c>
      <c r="N7" s="30"/>
      <c r="O7" s="30"/>
      <c r="P7" s="30">
        <v>0.1</v>
      </c>
      <c r="Q7" s="30"/>
      <c r="R7" s="30"/>
      <c r="S7" s="30"/>
      <c r="T7" s="30">
        <v>0.1</v>
      </c>
    </row>
    <row r="8" spans="1:20" ht="14.4" x14ac:dyDescent="0.25">
      <c r="A8" s="29" t="s">
        <v>8</v>
      </c>
      <c r="B8" s="24">
        <v>0.19044</v>
      </c>
      <c r="C8" s="24">
        <v>0.67157999999999995</v>
      </c>
      <c r="D8" s="24">
        <v>4.9180000000000001E-2</v>
      </c>
      <c r="E8" s="24">
        <v>0.10946</v>
      </c>
      <c r="F8" s="24" t="s">
        <v>12</v>
      </c>
      <c r="G8" s="24">
        <v>1</v>
      </c>
      <c r="H8" s="24">
        <v>1</v>
      </c>
      <c r="I8" s="24">
        <f t="shared" si="0"/>
        <v>0.50344333333333335</v>
      </c>
      <c r="J8" s="21"/>
      <c r="K8" s="21"/>
      <c r="L8" s="21"/>
      <c r="M8" s="29" t="s">
        <v>20</v>
      </c>
      <c r="N8" s="30"/>
      <c r="O8" s="30">
        <v>0.75</v>
      </c>
      <c r="P8" s="30"/>
      <c r="Q8" s="30"/>
      <c r="R8" s="30"/>
      <c r="S8" s="30"/>
      <c r="T8" s="30"/>
    </row>
    <row r="9" spans="1:20" ht="14.4" x14ac:dyDescent="0.25">
      <c r="A9" s="29" t="s">
        <v>5</v>
      </c>
      <c r="B9" s="24">
        <v>0</v>
      </c>
      <c r="C9" s="24">
        <v>0</v>
      </c>
      <c r="D9" s="24">
        <v>0</v>
      </c>
      <c r="E9" s="24">
        <v>0</v>
      </c>
      <c r="F9" s="24">
        <v>0</v>
      </c>
      <c r="G9" s="24" t="s">
        <v>12</v>
      </c>
      <c r="H9" s="24">
        <v>0.50133000000000005</v>
      </c>
      <c r="I9" s="24">
        <f t="shared" si="0"/>
        <v>8.3555000000000004E-2</v>
      </c>
      <c r="J9" s="21"/>
      <c r="K9" s="21"/>
      <c r="L9" s="21"/>
      <c r="M9" s="29" t="s">
        <v>21</v>
      </c>
      <c r="N9" s="30" t="s">
        <v>22</v>
      </c>
      <c r="O9" s="30"/>
      <c r="P9" s="30"/>
      <c r="Q9" s="30"/>
      <c r="R9" s="30"/>
      <c r="S9" s="30"/>
      <c r="T9" s="30"/>
    </row>
    <row r="10" spans="1:20" ht="14.4" x14ac:dyDescent="0.25">
      <c r="A10" s="21" t="s">
        <v>6</v>
      </c>
      <c r="B10" s="22">
        <v>0</v>
      </c>
      <c r="C10" s="22">
        <v>0</v>
      </c>
      <c r="D10" s="22">
        <v>0</v>
      </c>
      <c r="E10" s="22">
        <v>0</v>
      </c>
      <c r="F10" s="22">
        <v>0</v>
      </c>
      <c r="G10" s="22">
        <v>0.49867</v>
      </c>
      <c r="H10" s="22" t="s">
        <v>12</v>
      </c>
      <c r="I10" s="22">
        <f t="shared" si="0"/>
        <v>8.3111666666666667E-2</v>
      </c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</row>
    <row r="11" spans="1:20" ht="14.4" x14ac:dyDescent="0.25">
      <c r="A11" s="37" t="s">
        <v>23</v>
      </c>
      <c r="B11" s="37"/>
      <c r="C11" s="37"/>
      <c r="D11" s="37"/>
      <c r="E11" s="37"/>
      <c r="F11" s="37"/>
      <c r="G11" s="37"/>
      <c r="H11" s="37"/>
      <c r="I11" s="37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</row>
    <row r="12" spans="1:20" ht="14.4" x14ac:dyDescent="0.25">
      <c r="A12" s="27"/>
      <c r="B12" s="28" t="s">
        <v>9</v>
      </c>
      <c r="C12" s="28" t="s">
        <v>2</v>
      </c>
      <c r="D12" s="28" t="s">
        <v>3</v>
      </c>
      <c r="E12" s="28" t="s">
        <v>7</v>
      </c>
      <c r="F12" s="28" t="s">
        <v>8</v>
      </c>
      <c r="G12" s="28" t="s">
        <v>5</v>
      </c>
      <c r="H12" s="28" t="s">
        <v>6</v>
      </c>
      <c r="I12" s="28" t="s">
        <v>10</v>
      </c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</row>
    <row r="13" spans="1:20" ht="14.4" x14ac:dyDescent="0.25">
      <c r="A13" s="29" t="s">
        <v>9</v>
      </c>
      <c r="B13" s="24" t="s">
        <v>12</v>
      </c>
      <c r="C13" s="24">
        <v>1</v>
      </c>
      <c r="D13" s="24">
        <v>1</v>
      </c>
      <c r="E13" s="24">
        <v>0.19781000000000001</v>
      </c>
      <c r="F13" s="24">
        <v>0.83121</v>
      </c>
      <c r="G13" s="24">
        <v>1</v>
      </c>
      <c r="H13" s="24">
        <v>1</v>
      </c>
      <c r="I13" s="24">
        <f t="shared" ref="I13:I19" si="1">AVERAGE(B13:H13)</f>
        <v>0.83816999999999997</v>
      </c>
      <c r="J13" s="21" t="s">
        <v>13</v>
      </c>
      <c r="K13" s="24">
        <f>VARP(I13:I19)</f>
        <v>9.3373728618253951E-2</v>
      </c>
      <c r="L13" s="21"/>
      <c r="M13" s="21"/>
      <c r="N13" s="21"/>
      <c r="O13" s="21"/>
      <c r="P13" s="21"/>
      <c r="Q13" s="21"/>
      <c r="R13" s="21"/>
      <c r="S13" s="21"/>
      <c r="T13" s="21"/>
    </row>
    <row r="14" spans="1:20" ht="14.4" x14ac:dyDescent="0.25">
      <c r="A14" s="29" t="s">
        <v>2</v>
      </c>
      <c r="B14" s="24">
        <f>1-C13</f>
        <v>0</v>
      </c>
      <c r="C14" s="24" t="s">
        <v>12</v>
      </c>
      <c r="D14" s="24">
        <v>2.9239999999999999E-2</v>
      </c>
      <c r="E14" s="24">
        <v>0</v>
      </c>
      <c r="F14" s="24">
        <v>0.29396</v>
      </c>
      <c r="G14" s="24">
        <v>0.98304000000000002</v>
      </c>
      <c r="H14" s="24">
        <v>0.95416999999999996</v>
      </c>
      <c r="I14" s="24">
        <f t="shared" si="1"/>
        <v>0.37673500000000004</v>
      </c>
      <c r="J14" s="21" t="s">
        <v>15</v>
      </c>
      <c r="K14" s="24">
        <f t="array" ref="K14">AVERAGE(IF(ISNUMBER(B13:H19), ABS(B13:H19-0.5), ""))</f>
        <v>0.41760857142857138</v>
      </c>
      <c r="L14" s="21"/>
      <c r="M14" s="21"/>
      <c r="N14" s="21"/>
      <c r="O14" s="21"/>
      <c r="P14" s="21"/>
      <c r="Q14" s="21"/>
      <c r="R14" s="21"/>
      <c r="S14" s="21"/>
      <c r="T14" s="21"/>
    </row>
    <row r="15" spans="1:20" ht="14.4" x14ac:dyDescent="0.25">
      <c r="A15" s="29" t="s">
        <v>3</v>
      </c>
      <c r="B15" s="24">
        <f>1-D13</f>
        <v>0</v>
      </c>
      <c r="C15" s="24">
        <f>1-D14</f>
        <v>0.97075999999999996</v>
      </c>
      <c r="D15" s="24" t="s">
        <v>12</v>
      </c>
      <c r="E15" s="24">
        <v>0</v>
      </c>
      <c r="F15" s="24">
        <v>0.98921999999999999</v>
      </c>
      <c r="G15" s="24">
        <v>1</v>
      </c>
      <c r="H15" s="24">
        <v>1</v>
      </c>
      <c r="I15" s="24">
        <f t="shared" si="1"/>
        <v>0.65999666666666668</v>
      </c>
      <c r="J15" s="21" t="s">
        <v>17</v>
      </c>
      <c r="K15" s="24">
        <f>MAX(I13:I19)-MIN(I13:I19)</f>
        <v>0.83652833333333332</v>
      </c>
      <c r="L15" s="21"/>
      <c r="M15" s="21"/>
      <c r="N15" s="21"/>
      <c r="O15" s="21"/>
      <c r="P15" s="21"/>
      <c r="Q15" s="21"/>
      <c r="R15" s="21"/>
      <c r="S15" s="21"/>
      <c r="T15" s="21"/>
    </row>
    <row r="16" spans="1:20" ht="14.4" x14ac:dyDescent="0.25">
      <c r="A16" s="29" t="s">
        <v>7</v>
      </c>
      <c r="B16" s="24">
        <f>1-E13</f>
        <v>0.80218999999999996</v>
      </c>
      <c r="C16" s="24">
        <f>1-E14</f>
        <v>1</v>
      </c>
      <c r="D16" s="24">
        <f>1-E15</f>
        <v>1</v>
      </c>
      <c r="E16" s="24" t="s">
        <v>12</v>
      </c>
      <c r="F16" s="24">
        <v>0.93066000000000004</v>
      </c>
      <c r="G16" s="24">
        <v>1</v>
      </c>
      <c r="H16" s="24">
        <v>1</v>
      </c>
      <c r="I16" s="24">
        <f t="shared" si="1"/>
        <v>0.95547499999999996</v>
      </c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</row>
    <row r="17" spans="1:20" ht="14.4" x14ac:dyDescent="0.25">
      <c r="A17" s="29" t="s">
        <v>8</v>
      </c>
      <c r="B17" s="24">
        <f>1-F13</f>
        <v>0.16879</v>
      </c>
      <c r="C17" s="24">
        <f>1-F14</f>
        <v>0.70604</v>
      </c>
      <c r="D17" s="24">
        <f>1-F15</f>
        <v>1.0780000000000012E-2</v>
      </c>
      <c r="E17" s="24">
        <f>1-F16</f>
        <v>6.9339999999999957E-2</v>
      </c>
      <c r="F17" s="24" t="s">
        <v>12</v>
      </c>
      <c r="G17" s="24">
        <v>0.79645999999999995</v>
      </c>
      <c r="H17" s="24">
        <v>0.79920999999999998</v>
      </c>
      <c r="I17" s="24">
        <f t="shared" si="1"/>
        <v>0.42510333333333333</v>
      </c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</row>
    <row r="18" spans="1:20" ht="14.4" x14ac:dyDescent="0.25">
      <c r="A18" s="29" t="s">
        <v>5</v>
      </c>
      <c r="B18" s="24">
        <f>1-G13</f>
        <v>0</v>
      </c>
      <c r="C18" s="24">
        <f>1-G14</f>
        <v>1.6959999999999975E-2</v>
      </c>
      <c r="D18" s="24">
        <f>1-G15</f>
        <v>0</v>
      </c>
      <c r="E18" s="24">
        <f>1-G16</f>
        <v>0</v>
      </c>
      <c r="F18" s="24">
        <f>1-G17</f>
        <v>0.20354000000000005</v>
      </c>
      <c r="G18" s="24" t="s">
        <v>12</v>
      </c>
      <c r="H18" s="24">
        <v>0.49318000000000001</v>
      </c>
      <c r="I18" s="24">
        <f t="shared" si="1"/>
        <v>0.11894666666666669</v>
      </c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</row>
    <row r="19" spans="1:20" ht="14.4" x14ac:dyDescent="0.25">
      <c r="A19" s="21" t="s">
        <v>6</v>
      </c>
      <c r="B19" s="22">
        <f>1-H13</f>
        <v>0</v>
      </c>
      <c r="C19" s="22">
        <f>1-H14</f>
        <v>4.5830000000000037E-2</v>
      </c>
      <c r="D19" s="22">
        <f>1-H15</f>
        <v>0</v>
      </c>
      <c r="E19" s="22">
        <f>1-H16</f>
        <v>0</v>
      </c>
      <c r="F19" s="22">
        <f>1-H17</f>
        <v>0.20079000000000002</v>
      </c>
      <c r="G19" s="22">
        <f>1-H18</f>
        <v>0.50682000000000005</v>
      </c>
      <c r="H19" s="22" t="s">
        <v>12</v>
      </c>
      <c r="I19" s="22">
        <f t="shared" si="1"/>
        <v>0.12557333333333334</v>
      </c>
      <c r="J19" s="21"/>
      <c r="K19" s="24"/>
      <c r="L19" s="21"/>
      <c r="M19" s="21"/>
      <c r="N19" s="21"/>
      <c r="O19" s="21"/>
      <c r="P19" s="21"/>
      <c r="Q19" s="21"/>
      <c r="R19" s="21"/>
      <c r="S19" s="21"/>
      <c r="T19" s="21"/>
    </row>
    <row r="20" spans="1:20" ht="14.4" x14ac:dyDescent="0.25">
      <c r="A20" s="37" t="s">
        <v>24</v>
      </c>
      <c r="B20" s="37"/>
      <c r="C20" s="37"/>
      <c r="D20" s="37"/>
      <c r="E20" s="37"/>
      <c r="F20" s="37"/>
      <c r="G20" s="37"/>
      <c r="H20" s="37"/>
      <c r="I20" s="37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</row>
    <row r="21" spans="1:20" ht="14.4" x14ac:dyDescent="0.25">
      <c r="A21" s="27"/>
      <c r="B21" s="28" t="s">
        <v>9</v>
      </c>
      <c r="C21" s="28" t="s">
        <v>2</v>
      </c>
      <c r="D21" s="28" t="s">
        <v>3</v>
      </c>
      <c r="E21" s="28" t="s">
        <v>7</v>
      </c>
      <c r="F21" s="28" t="s">
        <v>8</v>
      </c>
      <c r="G21" s="28" t="s">
        <v>5</v>
      </c>
      <c r="H21" s="28" t="s">
        <v>6</v>
      </c>
      <c r="I21" s="28" t="s">
        <v>10</v>
      </c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</row>
    <row r="22" spans="1:20" ht="14.4" x14ac:dyDescent="0.25">
      <c r="A22" s="29" t="s">
        <v>9</v>
      </c>
      <c r="B22" s="24" t="s">
        <v>12</v>
      </c>
      <c r="C22" s="24">
        <v>1</v>
      </c>
      <c r="D22" s="24">
        <v>1</v>
      </c>
      <c r="E22" s="24">
        <v>0.25825999999999999</v>
      </c>
      <c r="F22" s="24">
        <v>0.83592999999999995</v>
      </c>
      <c r="G22" s="24">
        <v>0.79683000000000004</v>
      </c>
      <c r="H22" s="24">
        <v>0.99575999999999998</v>
      </c>
      <c r="I22" s="24">
        <f t="shared" ref="I22:I28" si="2">AVERAGE(B22:H22)</f>
        <v>0.81446333333333332</v>
      </c>
      <c r="J22" s="21" t="s">
        <v>13</v>
      </c>
      <c r="K22" s="24">
        <f>VARP(I22:I28)</f>
        <v>7.6990217435600861E-2</v>
      </c>
      <c r="L22" s="21"/>
      <c r="M22" s="21"/>
      <c r="N22" s="21"/>
      <c r="O22" s="21"/>
      <c r="P22" s="21"/>
      <c r="Q22" s="21"/>
      <c r="R22" s="21"/>
      <c r="S22" s="21"/>
      <c r="T22" s="21"/>
    </row>
    <row r="23" spans="1:20" ht="14.4" x14ac:dyDescent="0.25">
      <c r="A23" s="29" t="s">
        <v>2</v>
      </c>
      <c r="B23" s="24">
        <v>0</v>
      </c>
      <c r="C23" s="24" t="s">
        <v>12</v>
      </c>
      <c r="D23" s="24">
        <v>1.6549999999999999E-2</v>
      </c>
      <c r="E23" s="24">
        <v>0</v>
      </c>
      <c r="F23" s="24">
        <v>0.26050000000000001</v>
      </c>
      <c r="G23" s="24">
        <v>0.96233000000000002</v>
      </c>
      <c r="H23" s="24">
        <v>0.93789</v>
      </c>
      <c r="I23" s="24">
        <f t="shared" si="2"/>
        <v>0.36287833333333336</v>
      </c>
      <c r="J23" s="21" t="s">
        <v>15</v>
      </c>
      <c r="K23" s="24">
        <f t="array" ref="K23">AVERAGE(IF(ISNUMBER(B22:H28), ABS(B22:H28-0.5), ""))</f>
        <v>0.3780695238095238</v>
      </c>
      <c r="L23" s="21"/>
      <c r="M23" s="21"/>
      <c r="N23" s="21"/>
      <c r="O23" s="21"/>
      <c r="P23" s="21"/>
      <c r="Q23" s="21"/>
      <c r="R23" s="21"/>
      <c r="S23" s="21"/>
      <c r="T23" s="21"/>
    </row>
    <row r="24" spans="1:20" ht="14.4" x14ac:dyDescent="0.25">
      <c r="A24" s="29" t="s">
        <v>3</v>
      </c>
      <c r="B24" s="24">
        <v>0</v>
      </c>
      <c r="C24" s="24">
        <v>0.98345000000000005</v>
      </c>
      <c r="D24" s="24" t="s">
        <v>12</v>
      </c>
      <c r="E24" s="24">
        <v>2.5600000000000002E-3</v>
      </c>
      <c r="F24" s="24">
        <v>0.99729999999999996</v>
      </c>
      <c r="G24" s="24">
        <v>0.66544000000000003</v>
      </c>
      <c r="H24" s="24">
        <v>1</v>
      </c>
      <c r="I24" s="24">
        <f t="shared" si="2"/>
        <v>0.60812499999999992</v>
      </c>
      <c r="J24" s="21" t="s">
        <v>17</v>
      </c>
      <c r="K24" s="24">
        <f>MAX(I22:I28)-MIN(I22:I28)</f>
        <v>0.82131500000000013</v>
      </c>
      <c r="L24" s="21"/>
      <c r="M24" s="21"/>
      <c r="N24" s="21"/>
      <c r="O24" s="21"/>
      <c r="P24" s="21"/>
      <c r="Q24" s="21"/>
      <c r="R24" s="21"/>
      <c r="S24" s="21"/>
      <c r="T24" s="21"/>
    </row>
    <row r="25" spans="1:20" ht="14.4" x14ac:dyDescent="0.25">
      <c r="A25" s="29" t="s">
        <v>7</v>
      </c>
      <c r="B25" s="24">
        <v>0.74173999999999995</v>
      </c>
      <c r="C25" s="24">
        <v>1</v>
      </c>
      <c r="D25" s="24">
        <v>0.99743999999999999</v>
      </c>
      <c r="E25" s="24" t="s">
        <v>12</v>
      </c>
      <c r="F25" s="24">
        <v>0.95679999999999998</v>
      </c>
      <c r="G25" s="24">
        <v>1</v>
      </c>
      <c r="H25" s="24">
        <v>1</v>
      </c>
      <c r="I25" s="24">
        <f t="shared" si="2"/>
        <v>0.94933000000000012</v>
      </c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</row>
    <row r="26" spans="1:20" ht="14.4" x14ac:dyDescent="0.25">
      <c r="A26" s="29" t="s">
        <v>8</v>
      </c>
      <c r="B26" s="24">
        <v>0.16406999999999999</v>
      </c>
      <c r="C26" s="24">
        <v>0.73950000000000005</v>
      </c>
      <c r="D26" s="24">
        <v>0</v>
      </c>
      <c r="E26" s="24">
        <v>4.3200000000000002E-2</v>
      </c>
      <c r="F26" s="24" t="s">
        <v>12</v>
      </c>
      <c r="G26" s="24">
        <v>0.52944000000000002</v>
      </c>
      <c r="H26" s="24">
        <v>0.67776999999999998</v>
      </c>
      <c r="I26" s="24">
        <f t="shared" si="2"/>
        <v>0.35899666666666663</v>
      </c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</row>
    <row r="27" spans="1:20" ht="14.4" x14ac:dyDescent="0.25">
      <c r="A27" s="29" t="s">
        <v>5</v>
      </c>
      <c r="B27" s="24">
        <v>0.20316999999999999</v>
      </c>
      <c r="C27" s="24">
        <v>3.7670000000000002E-2</v>
      </c>
      <c r="D27" s="24">
        <v>0.33456000000000002</v>
      </c>
      <c r="E27" s="24">
        <v>0</v>
      </c>
      <c r="F27" s="24">
        <v>0.47055999999999998</v>
      </c>
      <c r="G27" s="24" t="s">
        <v>12</v>
      </c>
      <c r="H27" s="24">
        <v>0.62048999999999999</v>
      </c>
      <c r="I27" s="24">
        <f t="shared" si="2"/>
        <v>0.27774166666666666</v>
      </c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</row>
    <row r="28" spans="1:20" ht="14.4" x14ac:dyDescent="0.25">
      <c r="A28" s="21" t="s">
        <v>6</v>
      </c>
      <c r="B28" s="22">
        <v>4.2399999999999998E-3</v>
      </c>
      <c r="C28" s="22">
        <v>6.2109999999999999E-2</v>
      </c>
      <c r="D28" s="22">
        <v>0</v>
      </c>
      <c r="E28" s="22">
        <v>0</v>
      </c>
      <c r="F28" s="22">
        <v>0.32223000000000002</v>
      </c>
      <c r="G28" s="22">
        <v>0.37951000000000001</v>
      </c>
      <c r="H28" s="22" t="s">
        <v>12</v>
      </c>
      <c r="I28" s="22">
        <f t="shared" si="2"/>
        <v>0.12801500000000002</v>
      </c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</row>
    <row r="29" spans="1:20" ht="14.4" x14ac:dyDescent="0.25">
      <c r="A29" s="37" t="s">
        <v>25</v>
      </c>
      <c r="B29" s="37"/>
      <c r="C29" s="37"/>
      <c r="D29" s="37"/>
      <c r="E29" s="37"/>
      <c r="F29" s="37"/>
      <c r="G29" s="37"/>
      <c r="H29" s="37"/>
      <c r="I29" s="37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</row>
    <row r="30" spans="1:20" ht="14.4" x14ac:dyDescent="0.25">
      <c r="A30" s="27"/>
      <c r="B30" s="28" t="s">
        <v>9</v>
      </c>
      <c r="C30" s="28" t="s">
        <v>2</v>
      </c>
      <c r="D30" s="28" t="s">
        <v>3</v>
      </c>
      <c r="E30" s="28" t="s">
        <v>7</v>
      </c>
      <c r="F30" s="28" t="s">
        <v>8</v>
      </c>
      <c r="G30" s="28" t="s">
        <v>5</v>
      </c>
      <c r="H30" s="28" t="s">
        <v>6</v>
      </c>
      <c r="I30" s="28" t="s">
        <v>10</v>
      </c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</row>
    <row r="31" spans="1:20" ht="14.4" x14ac:dyDescent="0.25">
      <c r="A31" s="29" t="s">
        <v>9</v>
      </c>
      <c r="B31" s="24" t="s">
        <v>12</v>
      </c>
      <c r="C31" s="24">
        <v>1</v>
      </c>
      <c r="D31" s="24">
        <v>1</v>
      </c>
      <c r="E31" s="24">
        <v>0.21929000000000001</v>
      </c>
      <c r="F31" s="24">
        <v>0.90854000000000001</v>
      </c>
      <c r="G31" s="24">
        <v>0.43402000000000002</v>
      </c>
      <c r="H31" s="24">
        <v>0.99839999999999995</v>
      </c>
      <c r="I31" s="24">
        <f t="shared" ref="I31:I37" si="3">AVERAGE(B31:H31)</f>
        <v>0.76004166666666662</v>
      </c>
      <c r="J31" s="21" t="s">
        <v>13</v>
      </c>
      <c r="K31" s="24">
        <f>VARP(I31:I37)</f>
        <v>7.3254040579365035E-2</v>
      </c>
      <c r="L31" s="21"/>
      <c r="M31" s="21"/>
      <c r="N31" s="21"/>
      <c r="O31" s="21"/>
      <c r="P31" s="21"/>
      <c r="Q31" s="21"/>
      <c r="R31" s="21"/>
      <c r="S31" s="21"/>
      <c r="T31" s="21"/>
    </row>
    <row r="32" spans="1:20" ht="14.4" x14ac:dyDescent="0.25">
      <c r="A32" s="29" t="s">
        <v>2</v>
      </c>
      <c r="B32" s="24">
        <f>1-C31</f>
        <v>0</v>
      </c>
      <c r="C32" s="24" t="s">
        <v>12</v>
      </c>
      <c r="D32" s="24">
        <v>9.41E-3</v>
      </c>
      <c r="E32" s="24">
        <v>0</v>
      </c>
      <c r="F32" s="24">
        <v>0.23093</v>
      </c>
      <c r="G32" s="24">
        <v>0.88556000000000001</v>
      </c>
      <c r="H32" s="24">
        <v>0.94284000000000001</v>
      </c>
      <c r="I32" s="24">
        <f t="shared" si="3"/>
        <v>0.34478999999999999</v>
      </c>
      <c r="J32" s="21" t="s">
        <v>15</v>
      </c>
      <c r="K32" s="24">
        <f t="array" ref="K32">AVERAGE(IF(ISNUMBER(B31:H37), ABS(B31:H37-0.5), ""))</f>
        <v>0.39810380952380953</v>
      </c>
      <c r="L32" s="21"/>
      <c r="M32" s="21"/>
      <c r="N32" s="21"/>
      <c r="O32" s="21"/>
      <c r="P32" s="21"/>
      <c r="Q32" s="21"/>
      <c r="R32" s="21"/>
      <c r="S32" s="21"/>
      <c r="T32" s="21"/>
    </row>
    <row r="33" spans="1:20" ht="14.4" x14ac:dyDescent="0.25">
      <c r="A33" s="29" t="s">
        <v>3</v>
      </c>
      <c r="B33" s="24">
        <f>1-D31</f>
        <v>0</v>
      </c>
      <c r="C33" s="24">
        <f>1-D32</f>
        <v>0.99058999999999997</v>
      </c>
      <c r="D33" s="24" t="s">
        <v>12</v>
      </c>
      <c r="E33" s="24">
        <v>8.7000000000000001E-4</v>
      </c>
      <c r="F33" s="24">
        <v>0.99921000000000004</v>
      </c>
      <c r="G33" s="24">
        <v>0.27753</v>
      </c>
      <c r="H33" s="24">
        <v>1</v>
      </c>
      <c r="I33" s="24">
        <f t="shared" si="3"/>
        <v>0.54470000000000007</v>
      </c>
      <c r="J33" s="21" t="s">
        <v>17</v>
      </c>
      <c r="K33" s="24">
        <f>MAX(I31:I37)-MIN(I31:I37)</f>
        <v>0.85970666666666662</v>
      </c>
      <c r="L33" s="21"/>
      <c r="M33" s="21"/>
      <c r="N33" s="21"/>
      <c r="O33" s="21"/>
      <c r="P33" s="21"/>
      <c r="Q33" s="21"/>
      <c r="R33" s="21"/>
      <c r="S33" s="21"/>
      <c r="T33" s="21"/>
    </row>
    <row r="34" spans="1:20" ht="14.4" x14ac:dyDescent="0.25">
      <c r="A34" s="29" t="s">
        <v>7</v>
      </c>
      <c r="B34" s="24">
        <f>1-E31</f>
        <v>0.78071000000000002</v>
      </c>
      <c r="C34" s="24">
        <f>1-E32</f>
        <v>1</v>
      </c>
      <c r="D34" s="24">
        <f>1-E33</f>
        <v>0.99912999999999996</v>
      </c>
      <c r="E34" s="24" t="s">
        <v>12</v>
      </c>
      <c r="F34" s="24">
        <v>0.97267000000000003</v>
      </c>
      <c r="G34" s="24">
        <v>0.98180000000000001</v>
      </c>
      <c r="H34" s="24">
        <v>1</v>
      </c>
      <c r="I34" s="24">
        <f t="shared" si="3"/>
        <v>0.95571833333333334</v>
      </c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</row>
    <row r="35" spans="1:20" ht="14.4" x14ac:dyDescent="0.25">
      <c r="A35" s="29" t="s">
        <v>8</v>
      </c>
      <c r="B35" s="24">
        <f>1-F31</f>
        <v>9.1459999999999986E-2</v>
      </c>
      <c r="C35" s="24">
        <f>1-F32</f>
        <v>0.76907000000000003</v>
      </c>
      <c r="D35" s="24">
        <f>1-F33</f>
        <v>7.899999999999574E-4</v>
      </c>
      <c r="E35" s="24">
        <f>1-F34</f>
        <v>2.7329999999999965E-2</v>
      </c>
      <c r="F35" s="24" t="s">
        <v>12</v>
      </c>
      <c r="G35" s="24">
        <v>0.13947999999999999</v>
      </c>
      <c r="H35" s="24">
        <v>0.65905000000000002</v>
      </c>
      <c r="I35" s="24">
        <f t="shared" si="3"/>
        <v>0.28119666666666671</v>
      </c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</row>
    <row r="36" spans="1:20" ht="14.4" x14ac:dyDescent="0.25">
      <c r="A36" s="29" t="s">
        <v>5</v>
      </c>
      <c r="B36" s="24">
        <f>1-G31</f>
        <v>0.56597999999999993</v>
      </c>
      <c r="C36" s="24">
        <f>1-G32</f>
        <v>0.11443999999999999</v>
      </c>
      <c r="D36" s="24">
        <f>1-G33</f>
        <v>0.72246999999999995</v>
      </c>
      <c r="E36" s="24">
        <f>1-G34</f>
        <v>1.8199999999999994E-2</v>
      </c>
      <c r="F36" s="24">
        <f>1-G35</f>
        <v>0.86051999999999995</v>
      </c>
      <c r="G36" s="24" t="s">
        <v>12</v>
      </c>
      <c r="H36" s="24">
        <v>0.82364000000000004</v>
      </c>
      <c r="I36" s="24">
        <f t="shared" si="3"/>
        <v>0.51754166666666668</v>
      </c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</row>
    <row r="37" spans="1:20" ht="14.4" x14ac:dyDescent="0.25">
      <c r="A37" s="21" t="s">
        <v>6</v>
      </c>
      <c r="B37" s="22">
        <f>1-H31</f>
        <v>1.6000000000000458E-3</v>
      </c>
      <c r="C37" s="22">
        <f>1-H32</f>
        <v>5.7159999999999989E-2</v>
      </c>
      <c r="D37" s="22">
        <f>1-H33</f>
        <v>0</v>
      </c>
      <c r="E37" s="22">
        <f>1-H34</f>
        <v>0</v>
      </c>
      <c r="F37" s="22">
        <f>1-H35</f>
        <v>0.34094999999999998</v>
      </c>
      <c r="G37" s="22">
        <f>1-H36</f>
        <v>0.17635999999999996</v>
      </c>
      <c r="H37" s="22" t="s">
        <v>12</v>
      </c>
      <c r="I37" s="22">
        <f t="shared" si="3"/>
        <v>9.6011666666666662E-2</v>
      </c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</row>
    <row r="38" spans="1:20" ht="14.4" x14ac:dyDescent="0.25">
      <c r="A38" s="37" t="s">
        <v>26</v>
      </c>
      <c r="B38" s="37"/>
      <c r="C38" s="37"/>
      <c r="D38" s="37"/>
      <c r="E38" s="37"/>
      <c r="F38" s="37"/>
      <c r="G38" s="37"/>
      <c r="H38" s="37"/>
      <c r="I38" s="37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</row>
    <row r="39" spans="1:20" ht="14.4" x14ac:dyDescent="0.25">
      <c r="A39" s="27"/>
      <c r="B39" s="28" t="s">
        <v>9</v>
      </c>
      <c r="C39" s="28" t="s">
        <v>2</v>
      </c>
      <c r="D39" s="28" t="s">
        <v>3</v>
      </c>
      <c r="E39" s="28" t="s">
        <v>7</v>
      </c>
      <c r="F39" s="28" t="s">
        <v>8</v>
      </c>
      <c r="G39" s="28" t="s">
        <v>5</v>
      </c>
      <c r="H39" s="28" t="s">
        <v>6</v>
      </c>
      <c r="I39" s="28" t="s">
        <v>10</v>
      </c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</row>
    <row r="40" spans="1:20" ht="14.4" x14ac:dyDescent="0.25">
      <c r="A40" s="29" t="s">
        <v>9</v>
      </c>
      <c r="B40" s="24" t="s">
        <v>12</v>
      </c>
      <c r="C40" s="24">
        <v>1</v>
      </c>
      <c r="D40" s="24">
        <v>1</v>
      </c>
      <c r="E40" s="24">
        <v>0.20483999999999999</v>
      </c>
      <c r="F40" s="24">
        <v>0.93635000000000002</v>
      </c>
      <c r="G40" s="24">
        <v>2.5700000000000001E-2</v>
      </c>
      <c r="H40" s="24">
        <v>1</v>
      </c>
      <c r="I40" s="24">
        <f t="shared" ref="I40:I46" si="4">AVERAGE(B40:H40)</f>
        <v>0.69448166666666677</v>
      </c>
      <c r="J40" s="21" t="s">
        <v>13</v>
      </c>
      <c r="K40" s="24">
        <f>VARP(I40:I46)</f>
        <v>8.7917673988888903E-2</v>
      </c>
      <c r="L40" s="21"/>
      <c r="M40" s="21"/>
      <c r="N40" s="21"/>
      <c r="O40" s="21"/>
      <c r="P40" s="21"/>
      <c r="Q40" s="21"/>
      <c r="R40" s="21"/>
      <c r="S40" s="21"/>
      <c r="T40" s="21"/>
    </row>
    <row r="41" spans="1:20" ht="14.4" x14ac:dyDescent="0.25">
      <c r="A41" s="29" t="s">
        <v>2</v>
      </c>
      <c r="B41" s="24">
        <v>0</v>
      </c>
      <c r="C41" s="24" t="s">
        <v>12</v>
      </c>
      <c r="D41" s="24">
        <v>2.1700000000000001E-3</v>
      </c>
      <c r="E41" s="24">
        <v>0</v>
      </c>
      <c r="F41" s="24">
        <v>0.18829000000000001</v>
      </c>
      <c r="G41" s="24">
        <v>0.39728000000000002</v>
      </c>
      <c r="H41" s="24">
        <v>0.95521</v>
      </c>
      <c r="I41" s="24">
        <f t="shared" si="4"/>
        <v>0.25715833333333332</v>
      </c>
      <c r="J41" s="21" t="s">
        <v>15</v>
      </c>
      <c r="K41" s="24">
        <f t="array" ref="K41">AVERAGE(IF(ISNUMBER(B40:H46), ABS(B40:H46-0.5), ""))</f>
        <v>0.42809952380952382</v>
      </c>
      <c r="L41" s="21"/>
      <c r="M41" s="21"/>
      <c r="N41" s="21"/>
      <c r="O41" s="21"/>
      <c r="P41" s="21"/>
      <c r="Q41" s="21"/>
      <c r="R41" s="21"/>
      <c r="S41" s="21"/>
      <c r="T41" s="21"/>
    </row>
    <row r="42" spans="1:20" ht="14.4" x14ac:dyDescent="0.25">
      <c r="A42" s="29" t="s">
        <v>3</v>
      </c>
      <c r="B42" s="24">
        <v>0</v>
      </c>
      <c r="C42" s="24">
        <v>0.99782999999999999</v>
      </c>
      <c r="D42" s="24" t="s">
        <v>12</v>
      </c>
      <c r="E42" s="24">
        <v>0</v>
      </c>
      <c r="F42" s="24">
        <v>1</v>
      </c>
      <c r="G42" s="24">
        <v>1.0710000000000001E-2</v>
      </c>
      <c r="H42" s="24">
        <v>1</v>
      </c>
      <c r="I42" s="24">
        <f t="shared" si="4"/>
        <v>0.50142333333333333</v>
      </c>
      <c r="J42" s="21" t="s">
        <v>17</v>
      </c>
      <c r="K42" s="24">
        <f>MAX(I40:I46)-MIN(I40:I46)</f>
        <v>0.82562333333333326</v>
      </c>
      <c r="L42" s="21"/>
      <c r="M42" s="21"/>
      <c r="N42" s="21"/>
      <c r="O42" s="21"/>
      <c r="P42" s="21"/>
      <c r="Q42" s="21"/>
      <c r="R42" s="21"/>
      <c r="S42" s="21"/>
      <c r="T42" s="21"/>
    </row>
    <row r="43" spans="1:20" ht="14.4" x14ac:dyDescent="0.25">
      <c r="A43" s="29" t="s">
        <v>7</v>
      </c>
      <c r="B43" s="24">
        <v>0.79515999999999998</v>
      </c>
      <c r="C43" s="24">
        <v>1</v>
      </c>
      <c r="D43" s="24">
        <v>1</v>
      </c>
      <c r="E43" s="24" t="s">
        <v>12</v>
      </c>
      <c r="F43" s="24">
        <v>0.98994000000000004</v>
      </c>
      <c r="G43" s="24">
        <v>0.33983000000000002</v>
      </c>
      <c r="H43" s="24">
        <v>1</v>
      </c>
      <c r="I43" s="24">
        <f t="shared" si="4"/>
        <v>0.854155</v>
      </c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</row>
    <row r="44" spans="1:20" ht="14.4" x14ac:dyDescent="0.25">
      <c r="A44" s="29" t="s">
        <v>8</v>
      </c>
      <c r="B44" s="24">
        <v>6.3649999999999998E-2</v>
      </c>
      <c r="C44" s="24">
        <v>0.81171000000000004</v>
      </c>
      <c r="D44" s="24">
        <v>0</v>
      </c>
      <c r="E44" s="24">
        <v>1.0059999999999999E-2</v>
      </c>
      <c r="F44" s="24" t="s">
        <v>12</v>
      </c>
      <c r="G44" s="24">
        <v>4.4600000000000004E-3</v>
      </c>
      <c r="H44" s="24">
        <v>0.78722999999999999</v>
      </c>
      <c r="I44" s="24">
        <f t="shared" si="4"/>
        <v>0.27951833333333331</v>
      </c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</row>
    <row r="45" spans="1:20" ht="14.4" x14ac:dyDescent="0.25">
      <c r="A45" s="29" t="s">
        <v>5</v>
      </c>
      <c r="B45" s="24">
        <v>0.97430000000000005</v>
      </c>
      <c r="C45" s="24">
        <v>0.60272000000000003</v>
      </c>
      <c r="D45" s="24">
        <v>0.98929</v>
      </c>
      <c r="E45" s="24">
        <v>0.66017000000000003</v>
      </c>
      <c r="F45" s="24">
        <v>0.99553999999999998</v>
      </c>
      <c r="G45" s="24" t="s">
        <v>12</v>
      </c>
      <c r="H45" s="24">
        <v>0.99463999999999997</v>
      </c>
      <c r="I45" s="24">
        <f t="shared" si="4"/>
        <v>0.86944333333333323</v>
      </c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</row>
    <row r="46" spans="1:20" x14ac:dyDescent="0.25">
      <c r="A46" s="6" t="s">
        <v>6</v>
      </c>
      <c r="B46" s="7">
        <v>0</v>
      </c>
      <c r="C46" s="7">
        <v>4.4790000000000003E-2</v>
      </c>
      <c r="D46" s="7">
        <v>0</v>
      </c>
      <c r="E46" s="7">
        <v>0</v>
      </c>
      <c r="F46" s="7">
        <v>0.21276999999999999</v>
      </c>
      <c r="G46" s="7">
        <v>5.3600000000000002E-3</v>
      </c>
      <c r="H46" s="7" t="s">
        <v>12</v>
      </c>
      <c r="I46" s="8">
        <f t="shared" si="4"/>
        <v>4.3819999999999998E-2</v>
      </c>
    </row>
    <row r="47" spans="1:20" x14ac:dyDescent="0.25">
      <c r="B47" s="5"/>
      <c r="C47" s="5"/>
      <c r="D47" s="5"/>
      <c r="E47" s="5"/>
      <c r="F47" s="5"/>
      <c r="G47" s="5"/>
      <c r="H47" s="5"/>
      <c r="I47" s="5"/>
    </row>
    <row r="48" spans="1:20" x14ac:dyDescent="0.25">
      <c r="B48" s="5"/>
      <c r="C48" s="5"/>
      <c r="D48" s="5"/>
      <c r="E48" s="5"/>
      <c r="F48" s="5"/>
      <c r="G48" s="5"/>
      <c r="H48" s="5"/>
      <c r="I48" s="5"/>
    </row>
    <row r="49" spans="2:9" x14ac:dyDescent="0.25">
      <c r="B49" s="5"/>
      <c r="C49" s="5"/>
      <c r="D49" s="5"/>
      <c r="E49" s="5"/>
      <c r="F49" s="5"/>
      <c r="G49" s="5"/>
      <c r="H49" s="5"/>
      <c r="I49" s="5"/>
    </row>
    <row r="50" spans="2:9" x14ac:dyDescent="0.25">
      <c r="B50" s="5"/>
      <c r="C50" s="5"/>
      <c r="D50" s="5"/>
      <c r="E50" s="5"/>
      <c r="F50" s="5"/>
      <c r="G50" s="5"/>
      <c r="H50" s="5"/>
      <c r="I50" s="5"/>
    </row>
    <row r="51" spans="2:9" x14ac:dyDescent="0.25">
      <c r="B51" s="5"/>
      <c r="C51" s="5"/>
      <c r="D51" s="5"/>
      <c r="E51" s="5"/>
      <c r="F51" s="5"/>
      <c r="G51" s="5"/>
      <c r="H51" s="5"/>
      <c r="I51" s="5"/>
    </row>
    <row r="52" spans="2:9" x14ac:dyDescent="0.25">
      <c r="B52" s="5"/>
      <c r="C52" s="5"/>
      <c r="D52" s="5"/>
      <c r="E52" s="5"/>
      <c r="F52" s="5"/>
      <c r="G52" s="5"/>
      <c r="H52" s="5"/>
      <c r="I52" s="5"/>
    </row>
    <row r="53" spans="2:9" x14ac:dyDescent="0.25">
      <c r="B53" s="5"/>
      <c r="C53" s="5"/>
      <c r="D53" s="5"/>
      <c r="E53" s="5"/>
      <c r="F53" s="5"/>
      <c r="G53" s="5"/>
      <c r="H53" s="5"/>
      <c r="I53" s="5"/>
    </row>
    <row r="54" spans="2:9" x14ac:dyDescent="0.25">
      <c r="B54" s="5"/>
      <c r="C54" s="5"/>
      <c r="D54" s="5"/>
      <c r="E54" s="5"/>
      <c r="F54" s="5"/>
      <c r="G54" s="5"/>
      <c r="H54" s="5"/>
      <c r="I54" s="5"/>
    </row>
    <row r="55" spans="2:9" x14ac:dyDescent="0.25">
      <c r="B55" s="5"/>
      <c r="C55" s="5"/>
      <c r="D55" s="5"/>
      <c r="E55" s="5"/>
      <c r="F55" s="5"/>
      <c r="G55" s="5"/>
      <c r="H55" s="5"/>
      <c r="I55" s="5"/>
    </row>
    <row r="56" spans="2:9" x14ac:dyDescent="0.25">
      <c r="B56" s="5"/>
      <c r="C56" s="5"/>
      <c r="D56" s="5"/>
      <c r="E56" s="5"/>
      <c r="F56" s="5"/>
      <c r="G56" s="5"/>
      <c r="H56" s="5"/>
      <c r="I56" s="5"/>
    </row>
    <row r="57" spans="2:9" x14ac:dyDescent="0.25">
      <c r="B57" s="5"/>
      <c r="C57" s="5"/>
      <c r="D57" s="5"/>
      <c r="E57" s="5"/>
      <c r="F57" s="5"/>
      <c r="G57" s="5"/>
      <c r="H57" s="5"/>
      <c r="I57" s="5"/>
    </row>
    <row r="58" spans="2:9" x14ac:dyDescent="0.25">
      <c r="B58" s="5"/>
      <c r="C58" s="5"/>
      <c r="D58" s="5"/>
      <c r="E58" s="5"/>
      <c r="F58" s="5"/>
      <c r="G58" s="5"/>
      <c r="H58" s="5"/>
      <c r="I58" s="5"/>
    </row>
    <row r="59" spans="2:9" x14ac:dyDescent="0.25">
      <c r="B59" s="5"/>
      <c r="C59" s="5"/>
      <c r="D59" s="5"/>
      <c r="E59" s="5"/>
      <c r="F59" s="5"/>
      <c r="G59" s="5"/>
      <c r="H59" s="5"/>
      <c r="I59" s="5"/>
    </row>
    <row r="60" spans="2:9" x14ac:dyDescent="0.25">
      <c r="B60" s="5"/>
      <c r="C60" s="5"/>
      <c r="D60" s="5"/>
      <c r="E60" s="5"/>
      <c r="F60" s="5"/>
      <c r="G60" s="5"/>
      <c r="H60" s="5"/>
      <c r="I60" s="5"/>
    </row>
    <row r="61" spans="2:9" x14ac:dyDescent="0.25">
      <c r="B61" s="5"/>
      <c r="C61" s="5"/>
      <c r="D61" s="5"/>
      <c r="E61" s="5"/>
      <c r="F61" s="5"/>
      <c r="G61" s="5"/>
      <c r="H61" s="5"/>
      <c r="I61" s="5"/>
    </row>
    <row r="62" spans="2:9" x14ac:dyDescent="0.25">
      <c r="B62" s="5"/>
      <c r="C62" s="5"/>
      <c r="D62" s="5"/>
      <c r="E62" s="5"/>
      <c r="F62" s="5"/>
      <c r="G62" s="5"/>
      <c r="H62" s="5"/>
      <c r="I62" s="5"/>
    </row>
    <row r="63" spans="2:9" x14ac:dyDescent="0.25">
      <c r="B63" s="5"/>
      <c r="C63" s="5"/>
      <c r="D63" s="5"/>
      <c r="E63" s="5"/>
      <c r="F63" s="5"/>
      <c r="G63" s="5"/>
      <c r="H63" s="5"/>
      <c r="I63" s="5"/>
    </row>
    <row r="64" spans="2:9" x14ac:dyDescent="0.25">
      <c r="B64" s="5"/>
      <c r="C64" s="5"/>
      <c r="D64" s="5"/>
      <c r="E64" s="5"/>
      <c r="F64" s="5"/>
      <c r="G64" s="5"/>
      <c r="H64" s="5"/>
      <c r="I64" s="5"/>
    </row>
    <row r="65" spans="2:9" x14ac:dyDescent="0.25">
      <c r="B65" s="5"/>
      <c r="C65" s="5"/>
      <c r="D65" s="5"/>
      <c r="E65" s="5"/>
      <c r="F65" s="5"/>
      <c r="G65" s="5"/>
      <c r="H65" s="5"/>
      <c r="I65" s="5"/>
    </row>
    <row r="66" spans="2:9" x14ac:dyDescent="0.25">
      <c r="B66" s="5"/>
      <c r="C66" s="5"/>
      <c r="D66" s="5"/>
      <c r="E66" s="5"/>
      <c r="F66" s="5"/>
      <c r="G66" s="5"/>
      <c r="H66" s="5"/>
      <c r="I66" s="5"/>
    </row>
    <row r="67" spans="2:9" x14ac:dyDescent="0.25">
      <c r="B67" s="5"/>
      <c r="C67" s="5"/>
      <c r="D67" s="5"/>
      <c r="E67" s="5"/>
      <c r="F67" s="5"/>
      <c r="G67" s="5"/>
      <c r="H67" s="5"/>
      <c r="I67" s="5"/>
    </row>
    <row r="68" spans="2:9" x14ac:dyDescent="0.25">
      <c r="B68" s="5"/>
      <c r="C68" s="5"/>
      <c r="D68" s="5"/>
      <c r="E68" s="5"/>
      <c r="F68" s="5"/>
      <c r="G68" s="5"/>
      <c r="H68" s="5"/>
      <c r="I68" s="5"/>
    </row>
    <row r="69" spans="2:9" x14ac:dyDescent="0.25">
      <c r="B69" s="5"/>
      <c r="C69" s="5"/>
      <c r="D69" s="5"/>
      <c r="E69" s="5"/>
      <c r="F69" s="5"/>
      <c r="G69" s="5"/>
      <c r="H69" s="5"/>
      <c r="I69" s="5"/>
    </row>
    <row r="70" spans="2:9" x14ac:dyDescent="0.25">
      <c r="B70" s="5"/>
      <c r="C70" s="5"/>
      <c r="D70" s="5"/>
      <c r="E70" s="5"/>
      <c r="F70" s="5"/>
      <c r="G70" s="5"/>
      <c r="H70" s="5"/>
      <c r="I70" s="5"/>
    </row>
    <row r="71" spans="2:9" x14ac:dyDescent="0.25">
      <c r="B71" s="5"/>
      <c r="C71" s="5"/>
      <c r="D71" s="5"/>
      <c r="E71" s="5"/>
      <c r="F71" s="5"/>
      <c r="G71" s="5"/>
      <c r="H71" s="5"/>
      <c r="I71" s="5"/>
    </row>
    <row r="72" spans="2:9" x14ac:dyDescent="0.25">
      <c r="B72" s="5"/>
      <c r="C72" s="5"/>
      <c r="D72" s="5"/>
      <c r="E72" s="5"/>
      <c r="F72" s="5"/>
      <c r="G72" s="5"/>
      <c r="H72" s="5"/>
      <c r="I72" s="5"/>
    </row>
    <row r="73" spans="2:9" x14ac:dyDescent="0.25">
      <c r="B73" s="5"/>
      <c r="C73" s="5"/>
      <c r="D73" s="5"/>
      <c r="E73" s="5"/>
      <c r="F73" s="5"/>
      <c r="G73" s="5"/>
      <c r="H73" s="5"/>
      <c r="I73" s="5"/>
    </row>
    <row r="74" spans="2:9" x14ac:dyDescent="0.25">
      <c r="B74" s="5"/>
      <c r="C74" s="5"/>
      <c r="D74" s="5"/>
      <c r="E74" s="5"/>
      <c r="F74" s="5"/>
      <c r="G74" s="5"/>
      <c r="H74" s="5"/>
      <c r="I74" s="5"/>
    </row>
    <row r="75" spans="2:9" x14ac:dyDescent="0.25">
      <c r="B75" s="5"/>
      <c r="C75" s="5"/>
      <c r="D75" s="5"/>
      <c r="E75" s="5"/>
      <c r="F75" s="5"/>
      <c r="G75" s="5"/>
      <c r="H75" s="5"/>
      <c r="I75" s="5"/>
    </row>
    <row r="76" spans="2:9" x14ac:dyDescent="0.25">
      <c r="B76" s="5"/>
      <c r="C76" s="5"/>
      <c r="D76" s="5"/>
      <c r="E76" s="5"/>
      <c r="F76" s="5"/>
      <c r="G76" s="5"/>
      <c r="H76" s="5"/>
      <c r="I76" s="5"/>
    </row>
    <row r="77" spans="2:9" x14ac:dyDescent="0.25">
      <c r="B77" s="5"/>
      <c r="C77" s="5"/>
      <c r="D77" s="5"/>
      <c r="E77" s="5"/>
      <c r="F77" s="5"/>
      <c r="G77" s="5"/>
      <c r="H77" s="5"/>
      <c r="I77" s="5"/>
    </row>
    <row r="78" spans="2:9" x14ac:dyDescent="0.25">
      <c r="B78" s="5"/>
      <c r="C78" s="5"/>
      <c r="D78" s="5"/>
      <c r="E78" s="5"/>
      <c r="F78" s="5"/>
      <c r="G78" s="5"/>
      <c r="H78" s="5"/>
      <c r="I78" s="5"/>
    </row>
    <row r="79" spans="2:9" x14ac:dyDescent="0.25">
      <c r="B79" s="5"/>
      <c r="C79" s="5"/>
      <c r="D79" s="5"/>
      <c r="E79" s="5"/>
      <c r="F79" s="5"/>
      <c r="G79" s="5"/>
      <c r="H79" s="5"/>
      <c r="I79" s="5"/>
    </row>
    <row r="80" spans="2:9" x14ac:dyDescent="0.25">
      <c r="B80" s="5"/>
      <c r="C80" s="5"/>
      <c r="D80" s="5"/>
      <c r="E80" s="5"/>
      <c r="F80" s="5"/>
      <c r="G80" s="5"/>
      <c r="H80" s="5"/>
      <c r="I80" s="5"/>
    </row>
    <row r="81" spans="2:9" x14ac:dyDescent="0.25">
      <c r="B81" s="5"/>
      <c r="C81" s="5"/>
      <c r="D81" s="5"/>
      <c r="E81" s="5"/>
      <c r="F81" s="5"/>
      <c r="G81" s="5"/>
      <c r="H81" s="5"/>
      <c r="I81" s="5"/>
    </row>
    <row r="82" spans="2:9" x14ac:dyDescent="0.25">
      <c r="B82" s="5"/>
      <c r="C82" s="5"/>
      <c r="D82" s="5"/>
      <c r="E82" s="5"/>
      <c r="F82" s="5"/>
      <c r="G82" s="5"/>
      <c r="H82" s="5"/>
      <c r="I82" s="5"/>
    </row>
    <row r="83" spans="2:9" x14ac:dyDescent="0.25">
      <c r="B83" s="5"/>
      <c r="C83" s="5"/>
      <c r="D83" s="5"/>
      <c r="E83" s="5"/>
      <c r="F83" s="5"/>
      <c r="G83" s="5"/>
      <c r="H83" s="5"/>
      <c r="I83" s="5"/>
    </row>
    <row r="84" spans="2:9" x14ac:dyDescent="0.25">
      <c r="B84" s="5"/>
      <c r="C84" s="5"/>
      <c r="D84" s="5"/>
      <c r="E84" s="5"/>
      <c r="F84" s="5"/>
      <c r="G84" s="5"/>
      <c r="H84" s="5"/>
      <c r="I84" s="5"/>
    </row>
    <row r="85" spans="2:9" x14ac:dyDescent="0.25">
      <c r="B85" s="5"/>
      <c r="C85" s="5"/>
      <c r="D85" s="5"/>
      <c r="E85" s="5"/>
      <c r="F85" s="5"/>
      <c r="G85" s="5"/>
      <c r="H85" s="5"/>
      <c r="I85" s="5"/>
    </row>
    <row r="86" spans="2:9" x14ac:dyDescent="0.25">
      <c r="B86" s="5"/>
      <c r="C86" s="5"/>
      <c r="D86" s="5"/>
      <c r="E86" s="5"/>
      <c r="F86" s="5"/>
      <c r="G86" s="5"/>
      <c r="H86" s="5"/>
      <c r="I86" s="5"/>
    </row>
    <row r="87" spans="2:9" x14ac:dyDescent="0.25">
      <c r="B87" s="5"/>
      <c r="C87" s="5"/>
      <c r="D87" s="5"/>
      <c r="E87" s="5"/>
      <c r="F87" s="5"/>
      <c r="G87" s="5"/>
      <c r="H87" s="5"/>
      <c r="I87" s="5"/>
    </row>
    <row r="88" spans="2:9" x14ac:dyDescent="0.25">
      <c r="B88" s="5"/>
      <c r="C88" s="5"/>
      <c r="D88" s="5"/>
      <c r="E88" s="5"/>
      <c r="F88" s="5"/>
      <c r="G88" s="5"/>
      <c r="H88" s="5"/>
      <c r="I88" s="5"/>
    </row>
    <row r="89" spans="2:9" x14ac:dyDescent="0.25">
      <c r="B89" s="5"/>
      <c r="C89" s="5"/>
      <c r="D89" s="5"/>
      <c r="E89" s="5"/>
      <c r="F89" s="5"/>
      <c r="G89" s="5"/>
      <c r="H89" s="5"/>
      <c r="I89" s="5"/>
    </row>
    <row r="90" spans="2:9" x14ac:dyDescent="0.25">
      <c r="B90" s="5"/>
      <c r="C90" s="5"/>
      <c r="D90" s="5"/>
      <c r="E90" s="5"/>
      <c r="F90" s="5"/>
      <c r="G90" s="5"/>
      <c r="H90" s="5"/>
      <c r="I90" s="5"/>
    </row>
    <row r="91" spans="2:9" x14ac:dyDescent="0.25">
      <c r="B91" s="5"/>
      <c r="C91" s="5"/>
      <c r="D91" s="5"/>
      <c r="E91" s="5"/>
      <c r="F91" s="5"/>
      <c r="G91" s="5"/>
      <c r="H91" s="5"/>
      <c r="I91" s="5"/>
    </row>
    <row r="92" spans="2:9" x14ac:dyDescent="0.25">
      <c r="B92" s="5"/>
      <c r="C92" s="5"/>
      <c r="D92" s="5"/>
      <c r="E92" s="5"/>
      <c r="F92" s="5"/>
      <c r="G92" s="5"/>
      <c r="H92" s="5"/>
      <c r="I92" s="5"/>
    </row>
    <row r="93" spans="2:9" x14ac:dyDescent="0.25">
      <c r="B93" s="5"/>
      <c r="C93" s="5"/>
      <c r="D93" s="5"/>
      <c r="E93" s="5"/>
      <c r="F93" s="5"/>
      <c r="G93" s="5"/>
      <c r="H93" s="5"/>
      <c r="I93" s="5"/>
    </row>
    <row r="94" spans="2:9" x14ac:dyDescent="0.25">
      <c r="B94" s="5"/>
      <c r="C94" s="5"/>
      <c r="D94" s="5"/>
      <c r="E94" s="5"/>
      <c r="F94" s="5"/>
      <c r="G94" s="5"/>
      <c r="H94" s="5"/>
      <c r="I94" s="5"/>
    </row>
    <row r="95" spans="2:9" x14ac:dyDescent="0.25">
      <c r="B95" s="5"/>
      <c r="C95" s="5"/>
      <c r="D95" s="5"/>
      <c r="E95" s="5"/>
      <c r="F95" s="5"/>
      <c r="G95" s="5"/>
      <c r="H95" s="5"/>
      <c r="I95" s="5"/>
    </row>
    <row r="96" spans="2:9" x14ac:dyDescent="0.25">
      <c r="B96" s="5"/>
      <c r="C96" s="5"/>
      <c r="D96" s="5"/>
      <c r="E96" s="5"/>
      <c r="F96" s="5"/>
      <c r="G96" s="5"/>
      <c r="H96" s="5"/>
      <c r="I96" s="5"/>
    </row>
    <row r="97" spans="2:9" x14ac:dyDescent="0.25">
      <c r="B97" s="5"/>
      <c r="C97" s="5"/>
      <c r="D97" s="5"/>
      <c r="E97" s="5"/>
      <c r="F97" s="5"/>
      <c r="G97" s="5"/>
      <c r="H97" s="5"/>
      <c r="I97" s="5"/>
    </row>
    <row r="98" spans="2:9" x14ac:dyDescent="0.25">
      <c r="B98" s="5"/>
      <c r="C98" s="5"/>
      <c r="D98" s="5"/>
      <c r="E98" s="5"/>
      <c r="F98" s="5"/>
      <c r="G98" s="5"/>
      <c r="H98" s="5"/>
      <c r="I98" s="5"/>
    </row>
    <row r="99" spans="2:9" x14ac:dyDescent="0.25">
      <c r="B99" s="5"/>
      <c r="C99" s="5"/>
      <c r="D99" s="5"/>
      <c r="E99" s="5"/>
      <c r="F99" s="5"/>
      <c r="G99" s="5"/>
      <c r="H99" s="5"/>
      <c r="I99" s="5"/>
    </row>
    <row r="100" spans="2:9" x14ac:dyDescent="0.25">
      <c r="B100" s="5"/>
      <c r="C100" s="5"/>
      <c r="D100" s="5"/>
      <c r="E100" s="5"/>
      <c r="F100" s="5"/>
      <c r="G100" s="5"/>
      <c r="H100" s="5"/>
      <c r="I100" s="5"/>
    </row>
    <row r="101" spans="2:9" x14ac:dyDescent="0.25">
      <c r="B101" s="5"/>
      <c r="C101" s="5"/>
      <c r="D101" s="5"/>
      <c r="E101" s="5"/>
      <c r="F101" s="5"/>
      <c r="G101" s="5"/>
      <c r="H101" s="5"/>
      <c r="I101" s="5"/>
    </row>
    <row r="102" spans="2:9" x14ac:dyDescent="0.25">
      <c r="B102" s="5"/>
      <c r="C102" s="5"/>
      <c r="D102" s="5"/>
      <c r="E102" s="5"/>
      <c r="F102" s="5"/>
      <c r="G102" s="5"/>
      <c r="H102" s="5"/>
      <c r="I102" s="5"/>
    </row>
    <row r="103" spans="2:9" x14ac:dyDescent="0.25">
      <c r="B103" s="5"/>
      <c r="C103" s="5"/>
      <c r="D103" s="5"/>
      <c r="E103" s="5"/>
      <c r="F103" s="5"/>
      <c r="G103" s="5"/>
      <c r="H103" s="5"/>
      <c r="I103" s="5"/>
    </row>
    <row r="104" spans="2:9" x14ac:dyDescent="0.25">
      <c r="B104" s="5"/>
      <c r="C104" s="5"/>
      <c r="D104" s="5"/>
      <c r="E104" s="5"/>
      <c r="F104" s="5"/>
      <c r="G104" s="5"/>
      <c r="H104" s="5"/>
      <c r="I104" s="5"/>
    </row>
    <row r="105" spans="2:9" x14ac:dyDescent="0.25">
      <c r="B105" s="5"/>
      <c r="C105" s="5"/>
      <c r="D105" s="5"/>
      <c r="E105" s="5"/>
      <c r="F105" s="5"/>
      <c r="G105" s="5"/>
      <c r="H105" s="5"/>
      <c r="I105" s="5"/>
    </row>
    <row r="106" spans="2:9" x14ac:dyDescent="0.25">
      <c r="B106" s="5"/>
      <c r="C106" s="5"/>
      <c r="D106" s="5"/>
      <c r="E106" s="5"/>
      <c r="F106" s="5"/>
      <c r="G106" s="5"/>
      <c r="H106" s="5"/>
      <c r="I106" s="5"/>
    </row>
    <row r="107" spans="2:9" x14ac:dyDescent="0.25">
      <c r="B107" s="5"/>
      <c r="C107" s="5"/>
      <c r="D107" s="5"/>
      <c r="E107" s="5"/>
      <c r="F107" s="5"/>
      <c r="G107" s="5"/>
      <c r="H107" s="5"/>
      <c r="I107" s="5"/>
    </row>
    <row r="108" spans="2:9" x14ac:dyDescent="0.25">
      <c r="B108" s="5"/>
      <c r="C108" s="5"/>
      <c r="D108" s="5"/>
      <c r="E108" s="5"/>
      <c r="F108" s="5"/>
      <c r="G108" s="5"/>
      <c r="H108" s="5"/>
      <c r="I108" s="5"/>
    </row>
    <row r="109" spans="2:9" x14ac:dyDescent="0.25">
      <c r="B109" s="5"/>
      <c r="C109" s="5"/>
      <c r="D109" s="5"/>
      <c r="E109" s="5"/>
      <c r="F109" s="5"/>
      <c r="G109" s="5"/>
      <c r="H109" s="5"/>
      <c r="I109" s="5"/>
    </row>
    <row r="110" spans="2:9" x14ac:dyDescent="0.25">
      <c r="B110" s="5"/>
      <c r="C110" s="5"/>
      <c r="D110" s="5"/>
      <c r="E110" s="5"/>
      <c r="F110" s="5"/>
      <c r="G110" s="5"/>
      <c r="H110" s="5"/>
      <c r="I110" s="5"/>
    </row>
    <row r="111" spans="2:9" x14ac:dyDescent="0.25">
      <c r="B111" s="5"/>
      <c r="C111" s="5"/>
      <c r="D111" s="5"/>
      <c r="E111" s="5"/>
      <c r="F111" s="5"/>
      <c r="G111" s="5"/>
      <c r="H111" s="5"/>
      <c r="I111" s="5"/>
    </row>
    <row r="112" spans="2:9" x14ac:dyDescent="0.25">
      <c r="B112" s="5"/>
      <c r="C112" s="5"/>
      <c r="D112" s="5"/>
      <c r="E112" s="5"/>
      <c r="F112" s="5"/>
      <c r="G112" s="5"/>
      <c r="H112" s="5"/>
      <c r="I112" s="5"/>
    </row>
    <row r="113" spans="2:9" x14ac:dyDescent="0.25">
      <c r="B113" s="5"/>
      <c r="C113" s="5"/>
      <c r="D113" s="5"/>
      <c r="E113" s="5"/>
      <c r="F113" s="5"/>
      <c r="G113" s="5"/>
      <c r="H113" s="5"/>
      <c r="I113" s="5"/>
    </row>
    <row r="114" spans="2:9" x14ac:dyDescent="0.25">
      <c r="B114" s="5"/>
      <c r="C114" s="5"/>
      <c r="D114" s="5"/>
      <c r="E114" s="5"/>
      <c r="F114" s="5"/>
      <c r="G114" s="5"/>
      <c r="H114" s="5"/>
      <c r="I114" s="5"/>
    </row>
    <row r="115" spans="2:9" x14ac:dyDescent="0.25">
      <c r="B115" s="5"/>
      <c r="C115" s="5"/>
      <c r="D115" s="5"/>
      <c r="E115" s="5"/>
      <c r="F115" s="5"/>
      <c r="G115" s="5"/>
      <c r="H115" s="5"/>
      <c r="I115" s="5"/>
    </row>
    <row r="116" spans="2:9" x14ac:dyDescent="0.25">
      <c r="B116" s="5"/>
      <c r="C116" s="5"/>
      <c r="D116" s="5"/>
      <c r="E116" s="5"/>
      <c r="F116" s="5"/>
      <c r="G116" s="5"/>
      <c r="H116" s="5"/>
      <c r="I116" s="5"/>
    </row>
    <row r="117" spans="2:9" x14ac:dyDescent="0.25">
      <c r="B117" s="5"/>
      <c r="C117" s="5"/>
      <c r="D117" s="5"/>
      <c r="E117" s="5"/>
      <c r="F117" s="5"/>
      <c r="G117" s="5"/>
      <c r="H117" s="5"/>
      <c r="I117" s="5"/>
    </row>
    <row r="118" spans="2:9" x14ac:dyDescent="0.25">
      <c r="B118" s="5"/>
      <c r="C118" s="5"/>
      <c r="D118" s="5"/>
      <c r="E118" s="5"/>
      <c r="F118" s="5"/>
      <c r="G118" s="5"/>
      <c r="H118" s="5"/>
      <c r="I118" s="5"/>
    </row>
    <row r="119" spans="2:9" x14ac:dyDescent="0.25">
      <c r="B119" s="5"/>
      <c r="C119" s="5"/>
      <c r="D119" s="5"/>
      <c r="E119" s="5"/>
      <c r="F119" s="5"/>
      <c r="G119" s="5"/>
      <c r="H119" s="5"/>
      <c r="I119" s="5"/>
    </row>
    <row r="120" spans="2:9" x14ac:dyDescent="0.25">
      <c r="B120" s="5"/>
      <c r="C120" s="5"/>
      <c r="D120" s="5"/>
      <c r="E120" s="5"/>
      <c r="F120" s="5"/>
      <c r="G120" s="5"/>
      <c r="H120" s="5"/>
      <c r="I120" s="5"/>
    </row>
    <row r="121" spans="2:9" x14ac:dyDescent="0.25">
      <c r="B121" s="5"/>
      <c r="C121" s="5"/>
      <c r="D121" s="5"/>
      <c r="E121" s="5"/>
      <c r="F121" s="5"/>
      <c r="G121" s="5"/>
      <c r="H121" s="5"/>
      <c r="I121" s="5"/>
    </row>
    <row r="122" spans="2:9" x14ac:dyDescent="0.25">
      <c r="B122" s="5"/>
      <c r="C122" s="5"/>
      <c r="D122" s="5"/>
      <c r="E122" s="5"/>
      <c r="F122" s="5"/>
      <c r="G122" s="5"/>
      <c r="H122" s="5"/>
      <c r="I122" s="5"/>
    </row>
    <row r="123" spans="2:9" x14ac:dyDescent="0.25">
      <c r="B123" s="5"/>
      <c r="C123" s="5"/>
      <c r="D123" s="5"/>
      <c r="E123" s="5"/>
      <c r="F123" s="5"/>
      <c r="G123" s="5"/>
      <c r="H123" s="5"/>
      <c r="I123" s="5"/>
    </row>
    <row r="124" spans="2:9" x14ac:dyDescent="0.25">
      <c r="B124" s="5"/>
      <c r="C124" s="5"/>
      <c r="D124" s="5"/>
      <c r="E124" s="5"/>
      <c r="F124" s="5"/>
      <c r="G124" s="5"/>
      <c r="H124" s="5"/>
      <c r="I124" s="5"/>
    </row>
    <row r="125" spans="2:9" x14ac:dyDescent="0.25">
      <c r="B125" s="5"/>
      <c r="C125" s="5"/>
      <c r="D125" s="5"/>
      <c r="E125" s="5"/>
      <c r="F125" s="5"/>
      <c r="G125" s="5"/>
      <c r="H125" s="5"/>
      <c r="I125" s="5"/>
    </row>
    <row r="126" spans="2:9" x14ac:dyDescent="0.25">
      <c r="B126" s="5"/>
      <c r="C126" s="5"/>
      <c r="D126" s="5"/>
      <c r="E126" s="5"/>
      <c r="F126" s="5"/>
      <c r="G126" s="5"/>
      <c r="H126" s="5"/>
      <c r="I126" s="5"/>
    </row>
    <row r="127" spans="2:9" x14ac:dyDescent="0.25">
      <c r="B127" s="5"/>
      <c r="C127" s="5"/>
      <c r="D127" s="5"/>
      <c r="E127" s="5"/>
      <c r="F127" s="5"/>
      <c r="G127" s="5"/>
      <c r="H127" s="5"/>
      <c r="I127" s="5"/>
    </row>
    <row r="128" spans="2:9" x14ac:dyDescent="0.25">
      <c r="B128" s="5"/>
      <c r="C128" s="5"/>
      <c r="D128" s="5"/>
      <c r="E128" s="5"/>
      <c r="F128" s="5"/>
      <c r="G128" s="5"/>
      <c r="H128" s="5"/>
      <c r="I128" s="5"/>
    </row>
    <row r="129" spans="2:9" x14ac:dyDescent="0.25">
      <c r="B129" s="5"/>
      <c r="C129" s="5"/>
      <c r="D129" s="5"/>
      <c r="E129" s="5"/>
      <c r="F129" s="5"/>
      <c r="G129" s="5"/>
      <c r="H129" s="5"/>
      <c r="I129" s="5"/>
    </row>
    <row r="130" spans="2:9" x14ac:dyDescent="0.25">
      <c r="B130" s="5"/>
      <c r="C130" s="5"/>
      <c r="D130" s="5"/>
      <c r="E130" s="5"/>
      <c r="F130" s="5"/>
      <c r="G130" s="5"/>
      <c r="H130" s="5"/>
      <c r="I130" s="5"/>
    </row>
    <row r="131" spans="2:9" x14ac:dyDescent="0.25">
      <c r="B131" s="5"/>
      <c r="C131" s="5"/>
      <c r="D131" s="5"/>
      <c r="E131" s="5"/>
      <c r="F131" s="5"/>
      <c r="G131" s="5"/>
      <c r="H131" s="5"/>
      <c r="I131" s="5"/>
    </row>
    <row r="132" spans="2:9" x14ac:dyDescent="0.25">
      <c r="B132" s="5"/>
      <c r="C132" s="5"/>
      <c r="D132" s="5"/>
      <c r="E132" s="5"/>
      <c r="F132" s="5"/>
      <c r="G132" s="5"/>
      <c r="H132" s="5"/>
      <c r="I132" s="5"/>
    </row>
    <row r="133" spans="2:9" x14ac:dyDescent="0.25">
      <c r="B133" s="5"/>
      <c r="C133" s="5"/>
      <c r="D133" s="5"/>
      <c r="E133" s="5"/>
      <c r="F133" s="5"/>
      <c r="G133" s="5"/>
      <c r="H133" s="5"/>
      <c r="I133" s="5"/>
    </row>
    <row r="134" spans="2:9" x14ac:dyDescent="0.25">
      <c r="B134" s="5"/>
      <c r="C134" s="5"/>
      <c r="D134" s="5"/>
      <c r="E134" s="5"/>
      <c r="F134" s="5"/>
      <c r="G134" s="5"/>
      <c r="H134" s="5"/>
      <c r="I134" s="5"/>
    </row>
    <row r="135" spans="2:9" x14ac:dyDescent="0.25">
      <c r="B135" s="5"/>
      <c r="C135" s="5"/>
      <c r="D135" s="5"/>
      <c r="E135" s="5"/>
      <c r="F135" s="5"/>
      <c r="G135" s="5"/>
      <c r="H135" s="5"/>
      <c r="I135" s="5"/>
    </row>
    <row r="136" spans="2:9" x14ac:dyDescent="0.25">
      <c r="B136" s="5"/>
      <c r="C136" s="5"/>
      <c r="D136" s="5"/>
      <c r="E136" s="5"/>
      <c r="F136" s="5"/>
      <c r="G136" s="5"/>
      <c r="H136" s="5"/>
      <c r="I136" s="5"/>
    </row>
    <row r="137" spans="2:9" x14ac:dyDescent="0.25">
      <c r="B137" s="5"/>
      <c r="C137" s="5"/>
      <c r="D137" s="5"/>
      <c r="E137" s="5"/>
      <c r="F137" s="5"/>
      <c r="G137" s="5"/>
      <c r="H137" s="5"/>
      <c r="I137" s="5"/>
    </row>
    <row r="138" spans="2:9" x14ac:dyDescent="0.25">
      <c r="B138" s="5"/>
      <c r="C138" s="5"/>
      <c r="D138" s="5"/>
      <c r="E138" s="5"/>
      <c r="F138" s="5"/>
      <c r="G138" s="5"/>
      <c r="H138" s="5"/>
      <c r="I138" s="5"/>
    </row>
    <row r="139" spans="2:9" x14ac:dyDescent="0.25">
      <c r="B139" s="5"/>
      <c r="C139" s="5"/>
      <c r="D139" s="5"/>
      <c r="E139" s="5"/>
      <c r="F139" s="5"/>
      <c r="G139" s="5"/>
      <c r="H139" s="5"/>
      <c r="I139" s="5"/>
    </row>
    <row r="140" spans="2:9" x14ac:dyDescent="0.25">
      <c r="B140" s="5"/>
      <c r="C140" s="5"/>
      <c r="D140" s="5"/>
      <c r="E140" s="5"/>
      <c r="F140" s="5"/>
      <c r="G140" s="5"/>
      <c r="H140" s="5"/>
      <c r="I140" s="5"/>
    </row>
    <row r="141" spans="2:9" x14ac:dyDescent="0.25">
      <c r="B141" s="5"/>
      <c r="C141" s="5"/>
      <c r="D141" s="5"/>
      <c r="E141" s="5"/>
      <c r="F141" s="5"/>
      <c r="G141" s="5"/>
      <c r="H141" s="5"/>
      <c r="I141" s="5"/>
    </row>
    <row r="142" spans="2:9" x14ac:dyDescent="0.25">
      <c r="B142" s="5"/>
      <c r="C142" s="5"/>
      <c r="D142" s="5"/>
      <c r="E142" s="5"/>
      <c r="F142" s="5"/>
      <c r="G142" s="5"/>
      <c r="H142" s="5"/>
      <c r="I142" s="5"/>
    </row>
    <row r="143" spans="2:9" x14ac:dyDescent="0.25">
      <c r="B143" s="5"/>
      <c r="C143" s="5"/>
      <c r="D143" s="5"/>
      <c r="E143" s="5"/>
      <c r="F143" s="5"/>
      <c r="G143" s="5"/>
      <c r="H143" s="5"/>
      <c r="I143" s="5"/>
    </row>
    <row r="144" spans="2:9" x14ac:dyDescent="0.25">
      <c r="B144" s="5"/>
      <c r="C144" s="5"/>
      <c r="D144" s="5"/>
      <c r="E144" s="5"/>
      <c r="F144" s="5"/>
      <c r="G144" s="5"/>
      <c r="H144" s="5"/>
      <c r="I144" s="5"/>
    </row>
    <row r="145" spans="2:9" x14ac:dyDescent="0.25">
      <c r="B145" s="5"/>
      <c r="C145" s="5"/>
      <c r="D145" s="5"/>
      <c r="E145" s="5"/>
      <c r="F145" s="5"/>
      <c r="G145" s="5"/>
      <c r="H145" s="5"/>
      <c r="I145" s="5"/>
    </row>
    <row r="146" spans="2:9" x14ac:dyDescent="0.25">
      <c r="B146" s="5"/>
      <c r="C146" s="5"/>
      <c r="D146" s="5"/>
      <c r="E146" s="5"/>
      <c r="F146" s="5"/>
      <c r="G146" s="5"/>
      <c r="H146" s="5"/>
      <c r="I146" s="5"/>
    </row>
    <row r="147" spans="2:9" x14ac:dyDescent="0.25">
      <c r="B147" s="5"/>
      <c r="C147" s="5"/>
      <c r="D147" s="5"/>
      <c r="E147" s="5"/>
      <c r="F147" s="5"/>
      <c r="G147" s="5"/>
      <c r="H147" s="5"/>
      <c r="I147" s="5"/>
    </row>
    <row r="148" spans="2:9" x14ac:dyDescent="0.25">
      <c r="B148" s="5"/>
      <c r="C148" s="5"/>
      <c r="D148" s="5"/>
      <c r="E148" s="5"/>
      <c r="F148" s="5"/>
      <c r="G148" s="5"/>
      <c r="H148" s="5"/>
      <c r="I148" s="5"/>
    </row>
    <row r="149" spans="2:9" x14ac:dyDescent="0.25">
      <c r="B149" s="5"/>
      <c r="C149" s="5"/>
      <c r="D149" s="5"/>
      <c r="E149" s="5"/>
      <c r="F149" s="5"/>
      <c r="G149" s="5"/>
      <c r="H149" s="5"/>
      <c r="I149" s="5"/>
    </row>
    <row r="150" spans="2:9" x14ac:dyDescent="0.25">
      <c r="B150" s="5"/>
      <c r="C150" s="5"/>
      <c r="D150" s="5"/>
      <c r="E150" s="5"/>
      <c r="F150" s="5"/>
      <c r="G150" s="5"/>
      <c r="H150" s="5"/>
      <c r="I150" s="5"/>
    </row>
    <row r="151" spans="2:9" x14ac:dyDescent="0.25">
      <c r="B151" s="5"/>
      <c r="C151" s="5"/>
      <c r="D151" s="5"/>
      <c r="E151" s="5"/>
      <c r="F151" s="5"/>
      <c r="G151" s="5"/>
      <c r="H151" s="5"/>
      <c r="I151" s="5"/>
    </row>
    <row r="152" spans="2:9" x14ac:dyDescent="0.25">
      <c r="B152" s="5"/>
      <c r="C152" s="5"/>
      <c r="D152" s="5"/>
      <c r="E152" s="5"/>
      <c r="F152" s="5"/>
      <c r="G152" s="5"/>
      <c r="H152" s="5"/>
      <c r="I152" s="5"/>
    </row>
    <row r="153" spans="2:9" x14ac:dyDescent="0.25">
      <c r="B153" s="5"/>
      <c r="C153" s="5"/>
      <c r="D153" s="5"/>
      <c r="E153" s="5"/>
      <c r="F153" s="5"/>
      <c r="G153" s="5"/>
      <c r="H153" s="5"/>
      <c r="I153" s="5"/>
    </row>
    <row r="154" spans="2:9" x14ac:dyDescent="0.25">
      <c r="B154" s="5"/>
      <c r="C154" s="5"/>
      <c r="D154" s="5"/>
      <c r="E154" s="5"/>
      <c r="F154" s="5"/>
      <c r="G154" s="5"/>
      <c r="H154" s="5"/>
      <c r="I154" s="5"/>
    </row>
    <row r="155" spans="2:9" x14ac:dyDescent="0.25">
      <c r="B155" s="5"/>
      <c r="C155" s="5"/>
      <c r="D155" s="5"/>
      <c r="E155" s="5"/>
      <c r="F155" s="5"/>
      <c r="G155" s="5"/>
      <c r="H155" s="5"/>
      <c r="I155" s="5"/>
    </row>
    <row r="156" spans="2:9" x14ac:dyDescent="0.25">
      <c r="B156" s="5"/>
      <c r="C156" s="5"/>
      <c r="D156" s="5"/>
      <c r="E156" s="5"/>
      <c r="F156" s="5"/>
      <c r="G156" s="5"/>
      <c r="H156" s="5"/>
      <c r="I156" s="5"/>
    </row>
    <row r="157" spans="2:9" x14ac:dyDescent="0.25">
      <c r="B157" s="5"/>
      <c r="C157" s="5"/>
      <c r="D157" s="5"/>
      <c r="E157" s="5"/>
      <c r="F157" s="5"/>
      <c r="G157" s="5"/>
      <c r="H157" s="5"/>
      <c r="I157" s="5"/>
    </row>
    <row r="158" spans="2:9" x14ac:dyDescent="0.25">
      <c r="B158" s="5"/>
      <c r="C158" s="5"/>
      <c r="D158" s="5"/>
      <c r="E158" s="5"/>
      <c r="F158" s="5"/>
      <c r="G158" s="5"/>
      <c r="H158" s="5"/>
      <c r="I158" s="5"/>
    </row>
    <row r="159" spans="2:9" x14ac:dyDescent="0.25">
      <c r="B159" s="5"/>
      <c r="C159" s="5"/>
      <c r="D159" s="5"/>
      <c r="E159" s="5"/>
      <c r="F159" s="5"/>
      <c r="G159" s="5"/>
      <c r="H159" s="5"/>
      <c r="I159" s="5"/>
    </row>
    <row r="160" spans="2:9" x14ac:dyDescent="0.25">
      <c r="B160" s="5"/>
      <c r="C160" s="5"/>
      <c r="D160" s="5"/>
      <c r="E160" s="5"/>
      <c r="F160" s="5"/>
      <c r="G160" s="5"/>
      <c r="H160" s="5"/>
      <c r="I160" s="5"/>
    </row>
    <row r="161" spans="2:9" x14ac:dyDescent="0.25">
      <c r="B161" s="5"/>
      <c r="C161" s="5"/>
      <c r="D161" s="5"/>
      <c r="E161" s="5"/>
      <c r="F161" s="5"/>
      <c r="G161" s="5"/>
      <c r="H161" s="5"/>
      <c r="I161" s="5"/>
    </row>
    <row r="162" spans="2:9" x14ac:dyDescent="0.25">
      <c r="B162" s="5"/>
      <c r="C162" s="5"/>
      <c r="D162" s="5"/>
      <c r="E162" s="5"/>
      <c r="F162" s="5"/>
      <c r="G162" s="5"/>
      <c r="H162" s="5"/>
      <c r="I162" s="5"/>
    </row>
    <row r="163" spans="2:9" x14ac:dyDescent="0.25">
      <c r="B163" s="5"/>
      <c r="C163" s="5"/>
      <c r="D163" s="5"/>
      <c r="E163" s="5"/>
      <c r="F163" s="5"/>
      <c r="G163" s="5"/>
      <c r="H163" s="5"/>
      <c r="I163" s="5"/>
    </row>
    <row r="164" spans="2:9" x14ac:dyDescent="0.25">
      <c r="B164" s="5"/>
      <c r="C164" s="5"/>
      <c r="D164" s="5"/>
      <c r="E164" s="5"/>
      <c r="F164" s="5"/>
      <c r="G164" s="5"/>
      <c r="H164" s="5"/>
      <c r="I164" s="5"/>
    </row>
    <row r="165" spans="2:9" x14ac:dyDescent="0.25">
      <c r="B165" s="5"/>
      <c r="C165" s="5"/>
      <c r="D165" s="5"/>
      <c r="E165" s="5"/>
      <c r="F165" s="5"/>
      <c r="G165" s="5"/>
      <c r="H165" s="5"/>
      <c r="I165" s="5"/>
    </row>
    <row r="166" spans="2:9" x14ac:dyDescent="0.25">
      <c r="B166" s="5"/>
      <c r="C166" s="5"/>
      <c r="D166" s="5"/>
      <c r="E166" s="5"/>
      <c r="F166" s="5"/>
      <c r="G166" s="5"/>
      <c r="H166" s="5"/>
      <c r="I166" s="5"/>
    </row>
    <row r="167" spans="2:9" x14ac:dyDescent="0.25">
      <c r="B167" s="5"/>
      <c r="C167" s="5"/>
      <c r="D167" s="5"/>
      <c r="E167" s="5"/>
      <c r="F167" s="5"/>
      <c r="G167" s="5"/>
      <c r="H167" s="5"/>
      <c r="I167" s="5"/>
    </row>
    <row r="168" spans="2:9" x14ac:dyDescent="0.25">
      <c r="B168" s="5"/>
      <c r="C168" s="5"/>
      <c r="D168" s="5"/>
      <c r="E168" s="5"/>
      <c r="F168" s="5"/>
      <c r="G168" s="5"/>
      <c r="H168" s="5"/>
      <c r="I168" s="5"/>
    </row>
    <row r="169" spans="2:9" x14ac:dyDescent="0.25">
      <c r="B169" s="5"/>
      <c r="C169" s="5"/>
      <c r="D169" s="5"/>
      <c r="E169" s="5"/>
      <c r="F169" s="5"/>
      <c r="G169" s="5"/>
      <c r="H169" s="5"/>
      <c r="I169" s="5"/>
    </row>
    <row r="170" spans="2:9" x14ac:dyDescent="0.25">
      <c r="B170" s="5"/>
      <c r="C170" s="5"/>
      <c r="D170" s="5"/>
      <c r="E170" s="5"/>
      <c r="F170" s="5"/>
      <c r="G170" s="5"/>
      <c r="H170" s="5"/>
      <c r="I170" s="5"/>
    </row>
    <row r="171" spans="2:9" x14ac:dyDescent="0.25">
      <c r="B171" s="5"/>
      <c r="C171" s="5"/>
      <c r="D171" s="5"/>
      <c r="E171" s="5"/>
      <c r="F171" s="5"/>
      <c r="G171" s="5"/>
      <c r="H171" s="5"/>
      <c r="I171" s="5"/>
    </row>
    <row r="172" spans="2:9" x14ac:dyDescent="0.25">
      <c r="B172" s="5"/>
      <c r="C172" s="5"/>
      <c r="D172" s="5"/>
      <c r="E172" s="5"/>
      <c r="F172" s="5"/>
      <c r="G172" s="5"/>
      <c r="H172" s="5"/>
      <c r="I172" s="5"/>
    </row>
    <row r="173" spans="2:9" x14ac:dyDescent="0.25">
      <c r="B173" s="5"/>
      <c r="C173" s="5"/>
      <c r="D173" s="5"/>
      <c r="E173" s="5"/>
      <c r="F173" s="5"/>
      <c r="G173" s="5"/>
      <c r="H173" s="5"/>
      <c r="I173" s="5"/>
    </row>
    <row r="174" spans="2:9" x14ac:dyDescent="0.25">
      <c r="B174" s="5"/>
      <c r="C174" s="5"/>
      <c r="D174" s="5"/>
      <c r="E174" s="5"/>
      <c r="F174" s="5"/>
      <c r="G174" s="5"/>
      <c r="H174" s="5"/>
      <c r="I174" s="5"/>
    </row>
    <row r="175" spans="2:9" x14ac:dyDescent="0.25">
      <c r="B175" s="5"/>
      <c r="C175" s="5"/>
      <c r="D175" s="5"/>
      <c r="E175" s="5"/>
      <c r="F175" s="5"/>
      <c r="G175" s="5"/>
      <c r="H175" s="5"/>
      <c r="I175" s="5"/>
    </row>
    <row r="176" spans="2:9" x14ac:dyDescent="0.25">
      <c r="B176" s="5"/>
      <c r="C176" s="5"/>
      <c r="D176" s="5"/>
      <c r="E176" s="5"/>
      <c r="F176" s="5"/>
      <c r="G176" s="5"/>
      <c r="H176" s="5"/>
      <c r="I176" s="5"/>
    </row>
    <row r="177" spans="2:9" x14ac:dyDescent="0.25">
      <c r="B177" s="5"/>
      <c r="C177" s="5"/>
      <c r="D177" s="5"/>
      <c r="E177" s="5"/>
      <c r="F177" s="5"/>
      <c r="G177" s="5"/>
      <c r="H177" s="5"/>
      <c r="I177" s="5"/>
    </row>
    <row r="178" spans="2:9" x14ac:dyDescent="0.25">
      <c r="B178" s="5"/>
      <c r="C178" s="5"/>
      <c r="D178" s="5"/>
      <c r="E178" s="5"/>
      <c r="F178" s="5"/>
      <c r="G178" s="5"/>
      <c r="H178" s="5"/>
      <c r="I178" s="5"/>
    </row>
    <row r="179" spans="2:9" x14ac:dyDescent="0.25">
      <c r="B179" s="5"/>
      <c r="C179" s="5"/>
      <c r="D179" s="5"/>
      <c r="E179" s="5"/>
      <c r="F179" s="5"/>
      <c r="G179" s="5"/>
      <c r="H179" s="5"/>
      <c r="I179" s="5"/>
    </row>
    <row r="180" spans="2:9" x14ac:dyDescent="0.25">
      <c r="B180" s="5"/>
      <c r="C180" s="5"/>
      <c r="D180" s="5"/>
      <c r="E180" s="5"/>
      <c r="F180" s="5"/>
      <c r="G180" s="5"/>
      <c r="H180" s="5"/>
      <c r="I180" s="5"/>
    </row>
    <row r="181" spans="2:9" x14ac:dyDescent="0.25">
      <c r="B181" s="5"/>
      <c r="C181" s="5"/>
      <c r="D181" s="5"/>
      <c r="E181" s="5"/>
      <c r="F181" s="5"/>
      <c r="G181" s="5"/>
      <c r="H181" s="5"/>
      <c r="I181" s="5"/>
    </row>
    <row r="182" spans="2:9" x14ac:dyDescent="0.25">
      <c r="B182" s="5"/>
      <c r="C182" s="5"/>
      <c r="D182" s="5"/>
      <c r="E182" s="5"/>
      <c r="F182" s="5"/>
      <c r="G182" s="5"/>
      <c r="H182" s="5"/>
      <c r="I182" s="5"/>
    </row>
    <row r="183" spans="2:9" x14ac:dyDescent="0.25">
      <c r="B183" s="5"/>
      <c r="C183" s="5"/>
      <c r="D183" s="5"/>
      <c r="E183" s="5"/>
      <c r="F183" s="5"/>
      <c r="G183" s="5"/>
      <c r="H183" s="5"/>
      <c r="I183" s="5"/>
    </row>
    <row r="184" spans="2:9" x14ac:dyDescent="0.25">
      <c r="B184" s="5"/>
      <c r="C184" s="5"/>
      <c r="D184" s="5"/>
      <c r="E184" s="5"/>
      <c r="F184" s="5"/>
      <c r="G184" s="5"/>
      <c r="H184" s="5"/>
      <c r="I184" s="5"/>
    </row>
    <row r="185" spans="2:9" x14ac:dyDescent="0.25">
      <c r="B185" s="5"/>
      <c r="C185" s="5"/>
      <c r="D185" s="5"/>
      <c r="E185" s="5"/>
      <c r="F185" s="5"/>
      <c r="G185" s="5"/>
      <c r="H185" s="5"/>
      <c r="I185" s="5"/>
    </row>
    <row r="186" spans="2:9" x14ac:dyDescent="0.25">
      <c r="B186" s="5"/>
      <c r="C186" s="5"/>
      <c r="D186" s="5"/>
      <c r="E186" s="5"/>
      <c r="F186" s="5"/>
      <c r="G186" s="5"/>
      <c r="H186" s="5"/>
      <c r="I186" s="5"/>
    </row>
    <row r="187" spans="2:9" x14ac:dyDescent="0.25">
      <c r="B187" s="5"/>
      <c r="C187" s="5"/>
      <c r="D187" s="5"/>
      <c r="E187" s="5"/>
      <c r="F187" s="5"/>
      <c r="G187" s="5"/>
      <c r="H187" s="5"/>
      <c r="I187" s="5"/>
    </row>
    <row r="188" spans="2:9" x14ac:dyDescent="0.25">
      <c r="B188" s="5"/>
      <c r="C188" s="5"/>
      <c r="D188" s="5"/>
      <c r="E188" s="5"/>
      <c r="F188" s="5"/>
      <c r="G188" s="5"/>
      <c r="H188" s="5"/>
      <c r="I188" s="5"/>
    </row>
    <row r="189" spans="2:9" x14ac:dyDescent="0.25">
      <c r="B189" s="5"/>
      <c r="C189" s="5"/>
      <c r="D189" s="5"/>
      <c r="E189" s="5"/>
      <c r="F189" s="5"/>
      <c r="G189" s="5"/>
      <c r="H189" s="5"/>
      <c r="I189" s="5"/>
    </row>
    <row r="190" spans="2:9" x14ac:dyDescent="0.25">
      <c r="B190" s="5"/>
      <c r="C190" s="5"/>
      <c r="D190" s="5"/>
      <c r="E190" s="5"/>
      <c r="F190" s="5"/>
      <c r="G190" s="5"/>
      <c r="H190" s="5"/>
      <c r="I190" s="5"/>
    </row>
    <row r="191" spans="2:9" x14ac:dyDescent="0.25">
      <c r="B191" s="5"/>
      <c r="C191" s="5"/>
      <c r="D191" s="5"/>
      <c r="E191" s="5"/>
      <c r="F191" s="5"/>
      <c r="G191" s="5"/>
      <c r="H191" s="5"/>
      <c r="I191" s="5"/>
    </row>
    <row r="192" spans="2:9" x14ac:dyDescent="0.25">
      <c r="B192" s="5"/>
      <c r="C192" s="5"/>
      <c r="D192" s="5"/>
      <c r="E192" s="5"/>
      <c r="F192" s="5"/>
      <c r="G192" s="5"/>
      <c r="H192" s="5"/>
      <c r="I192" s="5"/>
    </row>
    <row r="193" spans="2:9" x14ac:dyDescent="0.25">
      <c r="B193" s="5"/>
      <c r="C193" s="5"/>
      <c r="D193" s="5"/>
      <c r="E193" s="5"/>
      <c r="F193" s="5"/>
      <c r="G193" s="5"/>
      <c r="H193" s="5"/>
      <c r="I193" s="5"/>
    </row>
    <row r="194" spans="2:9" x14ac:dyDescent="0.25">
      <c r="B194" s="5"/>
      <c r="C194" s="5"/>
      <c r="D194" s="5"/>
      <c r="E194" s="5"/>
      <c r="F194" s="5"/>
      <c r="G194" s="5"/>
      <c r="H194" s="5"/>
      <c r="I194" s="5"/>
    </row>
    <row r="195" spans="2:9" x14ac:dyDescent="0.25">
      <c r="B195" s="5"/>
      <c r="C195" s="5"/>
      <c r="D195" s="5"/>
      <c r="E195" s="5"/>
      <c r="F195" s="5"/>
      <c r="G195" s="5"/>
      <c r="H195" s="5"/>
      <c r="I195" s="5"/>
    </row>
    <row r="196" spans="2:9" x14ac:dyDescent="0.25">
      <c r="B196" s="5"/>
      <c r="C196" s="5"/>
      <c r="D196" s="5"/>
      <c r="E196" s="5"/>
      <c r="F196" s="5"/>
      <c r="G196" s="5"/>
      <c r="H196" s="5"/>
      <c r="I196" s="5"/>
    </row>
    <row r="197" spans="2:9" x14ac:dyDescent="0.25">
      <c r="B197" s="5"/>
      <c r="C197" s="5"/>
      <c r="D197" s="5"/>
      <c r="E197" s="5"/>
      <c r="F197" s="5"/>
      <c r="G197" s="5"/>
      <c r="H197" s="5"/>
      <c r="I197" s="5"/>
    </row>
    <row r="198" spans="2:9" x14ac:dyDescent="0.25">
      <c r="B198" s="5"/>
      <c r="C198" s="5"/>
      <c r="D198" s="5"/>
      <c r="E198" s="5"/>
      <c r="F198" s="5"/>
      <c r="G198" s="5"/>
      <c r="H198" s="5"/>
      <c r="I198" s="5"/>
    </row>
    <row r="199" spans="2:9" x14ac:dyDescent="0.25">
      <c r="B199" s="5"/>
      <c r="C199" s="5"/>
      <c r="D199" s="5"/>
      <c r="E199" s="5"/>
      <c r="F199" s="5"/>
      <c r="G199" s="5"/>
      <c r="H199" s="5"/>
      <c r="I199" s="5"/>
    </row>
    <row r="200" spans="2:9" x14ac:dyDescent="0.25">
      <c r="B200" s="5"/>
      <c r="C200" s="5"/>
      <c r="D200" s="5"/>
      <c r="E200" s="5"/>
      <c r="F200" s="5"/>
      <c r="G200" s="5"/>
      <c r="H200" s="5"/>
      <c r="I200" s="5"/>
    </row>
    <row r="201" spans="2:9" x14ac:dyDescent="0.25">
      <c r="B201" s="5"/>
      <c r="C201" s="5"/>
      <c r="D201" s="5"/>
      <c r="E201" s="5"/>
      <c r="F201" s="5"/>
      <c r="G201" s="5"/>
      <c r="H201" s="5"/>
      <c r="I201" s="5"/>
    </row>
    <row r="202" spans="2:9" x14ac:dyDescent="0.25">
      <c r="B202" s="5"/>
      <c r="C202" s="5"/>
      <c r="D202" s="5"/>
      <c r="E202" s="5"/>
      <c r="F202" s="5"/>
      <c r="G202" s="5"/>
      <c r="H202" s="5"/>
      <c r="I202" s="5"/>
    </row>
    <row r="203" spans="2:9" x14ac:dyDescent="0.25">
      <c r="B203" s="5"/>
      <c r="C203" s="5"/>
      <c r="D203" s="5"/>
      <c r="E203" s="5"/>
      <c r="F203" s="5"/>
      <c r="G203" s="5"/>
      <c r="H203" s="5"/>
      <c r="I203" s="5"/>
    </row>
    <row r="204" spans="2:9" x14ac:dyDescent="0.25">
      <c r="B204" s="5"/>
      <c r="C204" s="5"/>
      <c r="D204" s="5"/>
      <c r="E204" s="5"/>
      <c r="F204" s="5"/>
      <c r="G204" s="5"/>
      <c r="H204" s="5"/>
      <c r="I204" s="5"/>
    </row>
    <row r="205" spans="2:9" x14ac:dyDescent="0.25">
      <c r="B205" s="5"/>
      <c r="C205" s="5"/>
      <c r="D205" s="5"/>
      <c r="E205" s="5"/>
      <c r="F205" s="5"/>
      <c r="G205" s="5"/>
      <c r="H205" s="5"/>
      <c r="I205" s="5"/>
    </row>
    <row r="206" spans="2:9" x14ac:dyDescent="0.25">
      <c r="B206" s="5"/>
      <c r="C206" s="5"/>
      <c r="D206" s="5"/>
      <c r="E206" s="5"/>
      <c r="F206" s="5"/>
      <c r="G206" s="5"/>
      <c r="H206" s="5"/>
      <c r="I206" s="5"/>
    </row>
    <row r="207" spans="2:9" x14ac:dyDescent="0.25">
      <c r="B207" s="5"/>
      <c r="C207" s="5"/>
      <c r="D207" s="5"/>
      <c r="E207" s="5"/>
      <c r="F207" s="5"/>
      <c r="G207" s="5"/>
      <c r="H207" s="5"/>
      <c r="I207" s="5"/>
    </row>
    <row r="208" spans="2:9" x14ac:dyDescent="0.25">
      <c r="B208" s="5"/>
      <c r="C208" s="5"/>
      <c r="D208" s="5"/>
      <c r="E208" s="5"/>
      <c r="F208" s="5"/>
      <c r="G208" s="5"/>
      <c r="H208" s="5"/>
      <c r="I208" s="5"/>
    </row>
    <row r="209" spans="2:9" x14ac:dyDescent="0.25">
      <c r="B209" s="5"/>
      <c r="C209" s="5"/>
      <c r="D209" s="5"/>
      <c r="E209" s="5"/>
      <c r="F209" s="5"/>
      <c r="G209" s="5"/>
      <c r="H209" s="5"/>
      <c r="I209" s="5"/>
    </row>
    <row r="210" spans="2:9" x14ac:dyDescent="0.25">
      <c r="B210" s="5"/>
      <c r="C210" s="5"/>
      <c r="D210" s="5"/>
      <c r="E210" s="5"/>
      <c r="F210" s="5"/>
      <c r="G210" s="5"/>
      <c r="H210" s="5"/>
      <c r="I210" s="5"/>
    </row>
    <row r="211" spans="2:9" x14ac:dyDescent="0.25">
      <c r="B211" s="5"/>
      <c r="C211" s="5"/>
      <c r="D211" s="5"/>
      <c r="E211" s="5"/>
      <c r="F211" s="5"/>
      <c r="G211" s="5"/>
      <c r="H211" s="5"/>
      <c r="I211" s="5"/>
    </row>
    <row r="212" spans="2:9" x14ac:dyDescent="0.25">
      <c r="B212" s="5"/>
      <c r="C212" s="5"/>
      <c r="D212" s="5"/>
      <c r="E212" s="5"/>
      <c r="F212" s="5"/>
      <c r="G212" s="5"/>
      <c r="H212" s="5"/>
      <c r="I212" s="5"/>
    </row>
    <row r="213" spans="2:9" x14ac:dyDescent="0.25">
      <c r="B213" s="5"/>
      <c r="C213" s="5"/>
      <c r="D213" s="5"/>
      <c r="E213" s="5"/>
      <c r="F213" s="5"/>
      <c r="G213" s="5"/>
      <c r="H213" s="5"/>
      <c r="I213" s="5"/>
    </row>
    <row r="214" spans="2:9" x14ac:dyDescent="0.25">
      <c r="B214" s="5"/>
      <c r="C214" s="5"/>
      <c r="D214" s="5"/>
      <c r="E214" s="5"/>
      <c r="F214" s="5"/>
      <c r="G214" s="5"/>
      <c r="H214" s="5"/>
      <c r="I214" s="5"/>
    </row>
    <row r="215" spans="2:9" x14ac:dyDescent="0.25">
      <c r="B215" s="5"/>
      <c r="C215" s="5"/>
      <c r="D215" s="5"/>
      <c r="E215" s="5"/>
      <c r="F215" s="5"/>
      <c r="G215" s="5"/>
      <c r="H215" s="5"/>
      <c r="I215" s="5"/>
    </row>
    <row r="216" spans="2:9" x14ac:dyDescent="0.25">
      <c r="B216" s="5"/>
      <c r="C216" s="5"/>
      <c r="D216" s="5"/>
      <c r="E216" s="5"/>
      <c r="F216" s="5"/>
      <c r="G216" s="5"/>
      <c r="H216" s="5"/>
      <c r="I216" s="5"/>
    </row>
    <row r="217" spans="2:9" x14ac:dyDescent="0.25">
      <c r="B217" s="5"/>
      <c r="C217" s="5"/>
      <c r="D217" s="5"/>
      <c r="E217" s="5"/>
      <c r="F217" s="5"/>
      <c r="G217" s="5"/>
      <c r="H217" s="5"/>
      <c r="I217" s="5"/>
    </row>
    <row r="218" spans="2:9" x14ac:dyDescent="0.25">
      <c r="B218" s="5"/>
      <c r="C218" s="5"/>
      <c r="D218" s="5"/>
      <c r="E218" s="5"/>
      <c r="F218" s="5"/>
      <c r="G218" s="5"/>
      <c r="H218" s="5"/>
      <c r="I218" s="5"/>
    </row>
    <row r="219" spans="2:9" x14ac:dyDescent="0.25">
      <c r="B219" s="5"/>
      <c r="C219" s="5"/>
      <c r="D219" s="5"/>
      <c r="E219" s="5"/>
      <c r="F219" s="5"/>
      <c r="G219" s="5"/>
      <c r="H219" s="5"/>
      <c r="I219" s="5"/>
    </row>
    <row r="220" spans="2:9" x14ac:dyDescent="0.25">
      <c r="B220" s="5"/>
      <c r="C220" s="5"/>
      <c r="D220" s="5"/>
      <c r="E220" s="5"/>
      <c r="F220" s="5"/>
      <c r="G220" s="5"/>
      <c r="H220" s="5"/>
      <c r="I220" s="5"/>
    </row>
    <row r="221" spans="2:9" x14ac:dyDescent="0.25">
      <c r="B221" s="5"/>
      <c r="C221" s="5"/>
      <c r="D221" s="5"/>
      <c r="E221" s="5"/>
      <c r="F221" s="5"/>
      <c r="G221" s="5"/>
      <c r="H221" s="5"/>
      <c r="I221" s="5"/>
    </row>
    <row r="222" spans="2:9" x14ac:dyDescent="0.25">
      <c r="B222" s="5"/>
      <c r="C222" s="5"/>
      <c r="D222" s="5"/>
      <c r="E222" s="5"/>
      <c r="F222" s="5"/>
      <c r="G222" s="5"/>
      <c r="H222" s="5"/>
      <c r="I222" s="5"/>
    </row>
    <row r="223" spans="2:9" x14ac:dyDescent="0.25">
      <c r="B223" s="5"/>
      <c r="C223" s="5"/>
      <c r="D223" s="5"/>
      <c r="E223" s="5"/>
      <c r="F223" s="5"/>
      <c r="G223" s="5"/>
      <c r="H223" s="5"/>
      <c r="I223" s="5"/>
    </row>
    <row r="224" spans="2:9" x14ac:dyDescent="0.25">
      <c r="B224" s="5"/>
      <c r="C224" s="5"/>
      <c r="D224" s="5"/>
      <c r="E224" s="5"/>
      <c r="F224" s="5"/>
      <c r="G224" s="5"/>
      <c r="H224" s="5"/>
      <c r="I224" s="5"/>
    </row>
    <row r="225" spans="2:9" x14ac:dyDescent="0.25">
      <c r="B225" s="5"/>
      <c r="C225" s="5"/>
      <c r="D225" s="5"/>
      <c r="E225" s="5"/>
      <c r="F225" s="5"/>
      <c r="G225" s="5"/>
      <c r="H225" s="5"/>
      <c r="I225" s="5"/>
    </row>
    <row r="226" spans="2:9" x14ac:dyDescent="0.25">
      <c r="B226" s="5"/>
      <c r="C226" s="5"/>
      <c r="D226" s="5"/>
      <c r="E226" s="5"/>
      <c r="F226" s="5"/>
      <c r="G226" s="5"/>
      <c r="H226" s="5"/>
      <c r="I226" s="5"/>
    </row>
    <row r="227" spans="2:9" x14ac:dyDescent="0.25">
      <c r="B227" s="5"/>
      <c r="C227" s="5"/>
      <c r="D227" s="5"/>
      <c r="E227" s="5"/>
      <c r="F227" s="5"/>
      <c r="G227" s="5"/>
      <c r="H227" s="5"/>
      <c r="I227" s="5"/>
    </row>
    <row r="228" spans="2:9" x14ac:dyDescent="0.25">
      <c r="B228" s="5"/>
      <c r="C228" s="5"/>
      <c r="D228" s="5"/>
      <c r="E228" s="5"/>
      <c r="F228" s="5"/>
      <c r="G228" s="5"/>
      <c r="H228" s="5"/>
      <c r="I228" s="5"/>
    </row>
    <row r="229" spans="2:9" x14ac:dyDescent="0.25">
      <c r="B229" s="5"/>
      <c r="C229" s="5"/>
      <c r="D229" s="5"/>
      <c r="E229" s="5"/>
      <c r="F229" s="5"/>
      <c r="G229" s="5"/>
      <c r="H229" s="5"/>
      <c r="I229" s="5"/>
    </row>
    <row r="230" spans="2:9" x14ac:dyDescent="0.25">
      <c r="B230" s="5"/>
      <c r="C230" s="5"/>
      <c r="D230" s="5"/>
      <c r="E230" s="5"/>
      <c r="F230" s="5"/>
      <c r="G230" s="5"/>
      <c r="H230" s="5"/>
      <c r="I230" s="5"/>
    </row>
    <row r="231" spans="2:9" x14ac:dyDescent="0.25">
      <c r="B231" s="5"/>
      <c r="C231" s="5"/>
      <c r="D231" s="5"/>
      <c r="E231" s="5"/>
      <c r="F231" s="5"/>
      <c r="G231" s="5"/>
      <c r="H231" s="5"/>
      <c r="I231" s="5"/>
    </row>
    <row r="232" spans="2:9" x14ac:dyDescent="0.25">
      <c r="B232" s="5"/>
      <c r="C232" s="5"/>
      <c r="D232" s="5"/>
      <c r="E232" s="5"/>
      <c r="F232" s="5"/>
      <c r="G232" s="5"/>
      <c r="H232" s="5"/>
      <c r="I232" s="5"/>
    </row>
    <row r="233" spans="2:9" x14ac:dyDescent="0.25">
      <c r="B233" s="5"/>
      <c r="C233" s="5"/>
      <c r="D233" s="5"/>
      <c r="E233" s="5"/>
      <c r="F233" s="5"/>
      <c r="G233" s="5"/>
      <c r="H233" s="5"/>
      <c r="I233" s="5"/>
    </row>
    <row r="234" spans="2:9" x14ac:dyDescent="0.25">
      <c r="B234" s="5"/>
      <c r="C234" s="5"/>
      <c r="D234" s="5"/>
      <c r="E234" s="5"/>
      <c r="F234" s="5"/>
      <c r="G234" s="5"/>
      <c r="H234" s="5"/>
      <c r="I234" s="5"/>
    </row>
    <row r="235" spans="2:9" x14ac:dyDescent="0.25">
      <c r="B235" s="5"/>
      <c r="C235" s="5"/>
      <c r="D235" s="5"/>
      <c r="E235" s="5"/>
      <c r="F235" s="5"/>
      <c r="G235" s="5"/>
      <c r="H235" s="5"/>
      <c r="I235" s="5"/>
    </row>
    <row r="236" spans="2:9" x14ac:dyDescent="0.25">
      <c r="B236" s="5"/>
      <c r="C236" s="5"/>
      <c r="D236" s="5"/>
      <c r="E236" s="5"/>
      <c r="F236" s="5"/>
      <c r="G236" s="5"/>
      <c r="H236" s="5"/>
      <c r="I236" s="5"/>
    </row>
    <row r="237" spans="2:9" x14ac:dyDescent="0.25">
      <c r="B237" s="5"/>
      <c r="C237" s="5"/>
      <c r="D237" s="5"/>
      <c r="E237" s="5"/>
      <c r="F237" s="5"/>
      <c r="G237" s="5"/>
      <c r="H237" s="5"/>
      <c r="I237" s="5"/>
    </row>
    <row r="238" spans="2:9" x14ac:dyDescent="0.25">
      <c r="B238" s="5"/>
      <c r="C238" s="5"/>
      <c r="D238" s="5"/>
      <c r="E238" s="5"/>
      <c r="F238" s="5"/>
      <c r="G238" s="5"/>
      <c r="H238" s="5"/>
      <c r="I238" s="5"/>
    </row>
    <row r="239" spans="2:9" x14ac:dyDescent="0.25">
      <c r="B239" s="5"/>
      <c r="C239" s="5"/>
      <c r="D239" s="5"/>
      <c r="E239" s="5"/>
      <c r="F239" s="5"/>
      <c r="G239" s="5"/>
      <c r="H239" s="5"/>
      <c r="I239" s="5"/>
    </row>
    <row r="240" spans="2:9" x14ac:dyDescent="0.25">
      <c r="B240" s="5"/>
      <c r="C240" s="5"/>
      <c r="D240" s="5"/>
      <c r="E240" s="5"/>
      <c r="F240" s="5"/>
      <c r="G240" s="5"/>
      <c r="H240" s="5"/>
      <c r="I240" s="5"/>
    </row>
    <row r="241" spans="2:9" x14ac:dyDescent="0.25">
      <c r="B241" s="5"/>
      <c r="C241" s="5"/>
      <c r="D241" s="5"/>
      <c r="E241" s="5"/>
      <c r="F241" s="5"/>
      <c r="G241" s="5"/>
      <c r="H241" s="5"/>
      <c r="I241" s="5"/>
    </row>
    <row r="242" spans="2:9" x14ac:dyDescent="0.25">
      <c r="B242" s="5"/>
      <c r="C242" s="5"/>
      <c r="D242" s="5"/>
      <c r="E242" s="5"/>
      <c r="F242" s="5"/>
      <c r="G242" s="5"/>
      <c r="H242" s="5"/>
      <c r="I242" s="5"/>
    </row>
    <row r="243" spans="2:9" x14ac:dyDescent="0.25">
      <c r="B243" s="5"/>
      <c r="C243" s="5"/>
      <c r="D243" s="5"/>
      <c r="E243" s="5"/>
      <c r="F243" s="5"/>
      <c r="G243" s="5"/>
      <c r="H243" s="5"/>
      <c r="I243" s="5"/>
    </row>
    <row r="244" spans="2:9" x14ac:dyDescent="0.25">
      <c r="B244" s="5"/>
      <c r="C244" s="5"/>
      <c r="D244" s="5"/>
      <c r="E244" s="5"/>
      <c r="F244" s="5"/>
      <c r="G244" s="5"/>
      <c r="H244" s="5"/>
      <c r="I244" s="5"/>
    </row>
    <row r="245" spans="2:9" x14ac:dyDescent="0.25">
      <c r="B245" s="5"/>
      <c r="C245" s="5"/>
      <c r="D245" s="5"/>
      <c r="E245" s="5"/>
      <c r="F245" s="5"/>
      <c r="G245" s="5"/>
      <c r="H245" s="5"/>
      <c r="I245" s="5"/>
    </row>
    <row r="246" spans="2:9" x14ac:dyDescent="0.25">
      <c r="B246" s="5"/>
      <c r="C246" s="5"/>
      <c r="D246" s="5"/>
      <c r="E246" s="5"/>
      <c r="F246" s="5"/>
      <c r="G246" s="5"/>
      <c r="H246" s="5"/>
      <c r="I246" s="5"/>
    </row>
    <row r="247" spans="2:9" x14ac:dyDescent="0.25">
      <c r="B247" s="5"/>
      <c r="C247" s="5"/>
      <c r="D247" s="5"/>
      <c r="E247" s="5"/>
      <c r="F247" s="5"/>
      <c r="G247" s="5"/>
      <c r="H247" s="5"/>
      <c r="I247" s="5"/>
    </row>
    <row r="248" spans="2:9" x14ac:dyDescent="0.25">
      <c r="B248" s="5"/>
      <c r="C248" s="5"/>
      <c r="D248" s="5"/>
      <c r="E248" s="5"/>
      <c r="F248" s="5"/>
      <c r="G248" s="5"/>
      <c r="H248" s="5"/>
      <c r="I248" s="5"/>
    </row>
    <row r="249" spans="2:9" x14ac:dyDescent="0.25">
      <c r="B249" s="5"/>
      <c r="C249" s="5"/>
      <c r="D249" s="5"/>
      <c r="E249" s="5"/>
      <c r="F249" s="5"/>
      <c r="G249" s="5"/>
      <c r="H249" s="5"/>
      <c r="I249" s="5"/>
    </row>
    <row r="250" spans="2:9" x14ac:dyDescent="0.25">
      <c r="B250" s="5"/>
      <c r="C250" s="5"/>
      <c r="D250" s="5"/>
      <c r="E250" s="5"/>
      <c r="F250" s="5"/>
      <c r="G250" s="5"/>
      <c r="H250" s="5"/>
      <c r="I250" s="5"/>
    </row>
    <row r="251" spans="2:9" x14ac:dyDescent="0.25">
      <c r="B251" s="5"/>
      <c r="C251" s="5"/>
      <c r="D251" s="5"/>
      <c r="E251" s="5"/>
      <c r="F251" s="5"/>
      <c r="G251" s="5"/>
      <c r="H251" s="5"/>
      <c r="I251" s="5"/>
    </row>
    <row r="252" spans="2:9" x14ac:dyDescent="0.25">
      <c r="B252" s="5"/>
      <c r="C252" s="5"/>
      <c r="D252" s="5"/>
      <c r="E252" s="5"/>
      <c r="F252" s="5"/>
      <c r="G252" s="5"/>
      <c r="H252" s="5"/>
      <c r="I252" s="5"/>
    </row>
    <row r="253" spans="2:9" x14ac:dyDescent="0.25">
      <c r="B253" s="5"/>
      <c r="C253" s="5"/>
      <c r="D253" s="5"/>
      <c r="E253" s="5"/>
      <c r="F253" s="5"/>
      <c r="G253" s="5"/>
      <c r="H253" s="5"/>
      <c r="I253" s="5"/>
    </row>
    <row r="254" spans="2:9" x14ac:dyDescent="0.25">
      <c r="B254" s="5"/>
      <c r="C254" s="5"/>
      <c r="D254" s="5"/>
      <c r="E254" s="5"/>
      <c r="F254" s="5"/>
      <c r="G254" s="5"/>
      <c r="H254" s="5"/>
      <c r="I254" s="5"/>
    </row>
    <row r="255" spans="2:9" x14ac:dyDescent="0.25">
      <c r="B255" s="5"/>
      <c r="C255" s="5"/>
      <c r="D255" s="5"/>
      <c r="E255" s="5"/>
      <c r="F255" s="5"/>
      <c r="G255" s="5"/>
      <c r="H255" s="5"/>
      <c r="I255" s="5"/>
    </row>
    <row r="256" spans="2:9" x14ac:dyDescent="0.25">
      <c r="B256" s="5"/>
      <c r="C256" s="5"/>
      <c r="D256" s="5"/>
      <c r="E256" s="5"/>
      <c r="F256" s="5"/>
      <c r="G256" s="5"/>
      <c r="H256" s="5"/>
      <c r="I256" s="5"/>
    </row>
    <row r="257" spans="2:9" x14ac:dyDescent="0.25">
      <c r="B257" s="5"/>
      <c r="C257" s="5"/>
      <c r="D257" s="5"/>
      <c r="E257" s="5"/>
      <c r="F257" s="5"/>
      <c r="G257" s="5"/>
      <c r="H257" s="5"/>
      <c r="I257" s="5"/>
    </row>
    <row r="258" spans="2:9" x14ac:dyDescent="0.25">
      <c r="B258" s="5"/>
      <c r="C258" s="5"/>
      <c r="D258" s="5"/>
      <c r="E258" s="5"/>
      <c r="F258" s="5"/>
      <c r="G258" s="5"/>
      <c r="H258" s="5"/>
      <c r="I258" s="5"/>
    </row>
    <row r="259" spans="2:9" x14ac:dyDescent="0.25">
      <c r="B259" s="5"/>
      <c r="C259" s="5"/>
      <c r="D259" s="5"/>
      <c r="E259" s="5"/>
      <c r="F259" s="5"/>
      <c r="G259" s="5"/>
      <c r="H259" s="5"/>
      <c r="I259" s="5"/>
    </row>
    <row r="260" spans="2:9" x14ac:dyDescent="0.25">
      <c r="B260" s="5"/>
      <c r="C260" s="5"/>
      <c r="D260" s="5"/>
      <c r="E260" s="5"/>
      <c r="F260" s="5"/>
      <c r="G260" s="5"/>
      <c r="H260" s="5"/>
      <c r="I260" s="5"/>
    </row>
    <row r="261" spans="2:9" x14ac:dyDescent="0.25">
      <c r="B261" s="5"/>
      <c r="C261" s="5"/>
      <c r="D261" s="5"/>
      <c r="E261" s="5"/>
      <c r="F261" s="5"/>
      <c r="G261" s="5"/>
      <c r="H261" s="5"/>
      <c r="I261" s="5"/>
    </row>
    <row r="262" spans="2:9" x14ac:dyDescent="0.25">
      <c r="B262" s="5"/>
      <c r="C262" s="5"/>
      <c r="D262" s="5"/>
      <c r="E262" s="5"/>
      <c r="F262" s="5"/>
      <c r="G262" s="5"/>
      <c r="H262" s="5"/>
      <c r="I262" s="5"/>
    </row>
    <row r="263" spans="2:9" x14ac:dyDescent="0.25">
      <c r="B263" s="5"/>
      <c r="C263" s="5"/>
      <c r="D263" s="5"/>
      <c r="E263" s="5"/>
      <c r="F263" s="5"/>
      <c r="G263" s="5"/>
      <c r="H263" s="5"/>
      <c r="I263" s="5"/>
    </row>
    <row r="264" spans="2:9" x14ac:dyDescent="0.25">
      <c r="B264" s="5"/>
      <c r="C264" s="5"/>
      <c r="D264" s="5"/>
      <c r="E264" s="5"/>
      <c r="F264" s="5"/>
      <c r="G264" s="5"/>
      <c r="H264" s="5"/>
      <c r="I264" s="5"/>
    </row>
    <row r="265" spans="2:9" x14ac:dyDescent="0.25">
      <c r="B265" s="5"/>
      <c r="C265" s="5"/>
      <c r="D265" s="5"/>
      <c r="E265" s="5"/>
      <c r="F265" s="5"/>
      <c r="G265" s="5"/>
      <c r="H265" s="5"/>
      <c r="I265" s="5"/>
    </row>
    <row r="266" spans="2:9" x14ac:dyDescent="0.25">
      <c r="B266" s="5"/>
      <c r="C266" s="5"/>
      <c r="D266" s="5"/>
      <c r="E266" s="5"/>
      <c r="F266" s="5"/>
      <c r="G266" s="5"/>
      <c r="H266" s="5"/>
      <c r="I266" s="5"/>
    </row>
    <row r="267" spans="2:9" x14ac:dyDescent="0.25">
      <c r="B267" s="5"/>
      <c r="C267" s="5"/>
      <c r="D267" s="5"/>
      <c r="E267" s="5"/>
      <c r="F267" s="5"/>
      <c r="G267" s="5"/>
      <c r="H267" s="5"/>
      <c r="I267" s="5"/>
    </row>
    <row r="268" spans="2:9" x14ac:dyDescent="0.25">
      <c r="B268" s="5"/>
      <c r="C268" s="5"/>
      <c r="D268" s="5"/>
      <c r="E268" s="5"/>
      <c r="F268" s="5"/>
      <c r="G268" s="5"/>
      <c r="H268" s="5"/>
      <c r="I268" s="5"/>
    </row>
    <row r="269" spans="2:9" x14ac:dyDescent="0.25">
      <c r="B269" s="5"/>
      <c r="C269" s="5"/>
      <c r="D269" s="5"/>
      <c r="E269" s="5"/>
      <c r="F269" s="5"/>
      <c r="G269" s="5"/>
      <c r="H269" s="5"/>
      <c r="I269" s="5"/>
    </row>
    <row r="270" spans="2:9" x14ac:dyDescent="0.25">
      <c r="B270" s="5"/>
      <c r="C270" s="5"/>
      <c r="D270" s="5"/>
      <c r="E270" s="5"/>
      <c r="F270" s="5"/>
      <c r="G270" s="5"/>
      <c r="H270" s="5"/>
      <c r="I270" s="5"/>
    </row>
    <row r="271" spans="2:9" x14ac:dyDescent="0.25">
      <c r="B271" s="5"/>
      <c r="C271" s="5"/>
      <c r="D271" s="5"/>
      <c r="E271" s="5"/>
      <c r="F271" s="5"/>
      <c r="G271" s="5"/>
      <c r="H271" s="5"/>
      <c r="I271" s="5"/>
    </row>
    <row r="272" spans="2:9" x14ac:dyDescent="0.25">
      <c r="B272" s="5"/>
      <c r="C272" s="5"/>
      <c r="D272" s="5"/>
      <c r="E272" s="5"/>
      <c r="F272" s="5"/>
      <c r="G272" s="5"/>
      <c r="H272" s="5"/>
      <c r="I272" s="5"/>
    </row>
    <row r="273" spans="2:9" x14ac:dyDescent="0.25">
      <c r="B273" s="5"/>
      <c r="C273" s="5"/>
      <c r="D273" s="5"/>
      <c r="E273" s="5"/>
      <c r="F273" s="5"/>
      <c r="G273" s="5"/>
      <c r="H273" s="5"/>
      <c r="I273" s="5"/>
    </row>
    <row r="274" spans="2:9" x14ac:dyDescent="0.25">
      <c r="B274" s="5"/>
      <c r="C274" s="5"/>
      <c r="D274" s="5"/>
      <c r="E274" s="5"/>
      <c r="F274" s="5"/>
      <c r="G274" s="5"/>
      <c r="H274" s="5"/>
      <c r="I274" s="5"/>
    </row>
    <row r="275" spans="2:9" x14ac:dyDescent="0.25">
      <c r="B275" s="5"/>
      <c r="C275" s="5"/>
      <c r="D275" s="5"/>
      <c r="E275" s="5"/>
      <c r="F275" s="5"/>
      <c r="G275" s="5"/>
      <c r="H275" s="5"/>
      <c r="I275" s="5"/>
    </row>
    <row r="276" spans="2:9" x14ac:dyDescent="0.25">
      <c r="B276" s="5"/>
      <c r="C276" s="5"/>
      <c r="D276" s="5"/>
      <c r="E276" s="5"/>
      <c r="F276" s="5"/>
      <c r="G276" s="5"/>
      <c r="H276" s="5"/>
      <c r="I276" s="5"/>
    </row>
    <row r="277" spans="2:9" x14ac:dyDescent="0.25">
      <c r="B277" s="5"/>
      <c r="C277" s="5"/>
      <c r="D277" s="5"/>
      <c r="E277" s="5"/>
      <c r="F277" s="5"/>
      <c r="G277" s="5"/>
      <c r="H277" s="5"/>
      <c r="I277" s="5"/>
    </row>
    <row r="278" spans="2:9" x14ac:dyDescent="0.25">
      <c r="B278" s="5"/>
      <c r="C278" s="5"/>
      <c r="D278" s="5"/>
      <c r="E278" s="5"/>
      <c r="F278" s="5"/>
      <c r="G278" s="5"/>
      <c r="H278" s="5"/>
      <c r="I278" s="5"/>
    </row>
    <row r="279" spans="2:9" x14ac:dyDescent="0.25">
      <c r="B279" s="5"/>
      <c r="C279" s="5"/>
      <c r="D279" s="5"/>
      <c r="E279" s="5"/>
      <c r="F279" s="5"/>
      <c r="G279" s="5"/>
      <c r="H279" s="5"/>
      <c r="I279" s="5"/>
    </row>
    <row r="280" spans="2:9" x14ac:dyDescent="0.25">
      <c r="B280" s="5"/>
      <c r="C280" s="5"/>
      <c r="D280" s="5"/>
      <c r="E280" s="5"/>
      <c r="F280" s="5"/>
      <c r="G280" s="5"/>
      <c r="H280" s="5"/>
      <c r="I280" s="5"/>
    </row>
    <row r="281" spans="2:9" x14ac:dyDescent="0.25">
      <c r="B281" s="5"/>
      <c r="C281" s="5"/>
      <c r="D281" s="5"/>
      <c r="E281" s="5"/>
      <c r="F281" s="5"/>
      <c r="G281" s="5"/>
      <c r="H281" s="5"/>
      <c r="I281" s="5"/>
    </row>
    <row r="282" spans="2:9" x14ac:dyDescent="0.25">
      <c r="B282" s="5"/>
      <c r="C282" s="5"/>
      <c r="D282" s="5"/>
      <c r="E282" s="5"/>
      <c r="F282" s="5"/>
      <c r="G282" s="5"/>
      <c r="H282" s="5"/>
      <c r="I282" s="5"/>
    </row>
    <row r="283" spans="2:9" x14ac:dyDescent="0.25">
      <c r="B283" s="5"/>
      <c r="C283" s="5"/>
      <c r="D283" s="5"/>
      <c r="E283" s="5"/>
      <c r="F283" s="5"/>
      <c r="G283" s="5"/>
      <c r="H283" s="5"/>
      <c r="I283" s="5"/>
    </row>
    <row r="284" spans="2:9" x14ac:dyDescent="0.25">
      <c r="B284" s="5"/>
      <c r="C284" s="5"/>
      <c r="D284" s="5"/>
      <c r="E284" s="5"/>
      <c r="F284" s="5"/>
      <c r="G284" s="5"/>
      <c r="H284" s="5"/>
      <c r="I284" s="5"/>
    </row>
    <row r="285" spans="2:9" x14ac:dyDescent="0.25">
      <c r="B285" s="5"/>
      <c r="C285" s="5"/>
      <c r="D285" s="5"/>
      <c r="E285" s="5"/>
      <c r="F285" s="5"/>
      <c r="G285" s="5"/>
      <c r="H285" s="5"/>
      <c r="I285" s="5"/>
    </row>
    <row r="286" spans="2:9" x14ac:dyDescent="0.25">
      <c r="B286" s="5"/>
      <c r="C286" s="5"/>
      <c r="D286" s="5"/>
      <c r="E286" s="5"/>
      <c r="F286" s="5"/>
      <c r="G286" s="5"/>
      <c r="H286" s="5"/>
      <c r="I286" s="5"/>
    </row>
    <row r="287" spans="2:9" x14ac:dyDescent="0.25">
      <c r="B287" s="5"/>
      <c r="C287" s="5"/>
      <c r="D287" s="5"/>
      <c r="E287" s="5"/>
      <c r="F287" s="5"/>
      <c r="G287" s="5"/>
      <c r="H287" s="5"/>
      <c r="I287" s="5"/>
    </row>
    <row r="288" spans="2:9" x14ac:dyDescent="0.25">
      <c r="B288" s="5"/>
      <c r="C288" s="5"/>
      <c r="D288" s="5"/>
      <c r="E288" s="5"/>
      <c r="F288" s="5"/>
      <c r="G288" s="5"/>
      <c r="H288" s="5"/>
      <c r="I288" s="5"/>
    </row>
    <row r="289" spans="2:9" x14ac:dyDescent="0.25">
      <c r="B289" s="5"/>
      <c r="C289" s="5"/>
      <c r="D289" s="5"/>
      <c r="E289" s="5"/>
      <c r="F289" s="5"/>
      <c r="G289" s="5"/>
      <c r="H289" s="5"/>
      <c r="I289" s="5"/>
    </row>
    <row r="290" spans="2:9" x14ac:dyDescent="0.25">
      <c r="B290" s="5"/>
      <c r="C290" s="5"/>
      <c r="D290" s="5"/>
      <c r="E290" s="5"/>
      <c r="F290" s="5"/>
      <c r="G290" s="5"/>
      <c r="H290" s="5"/>
      <c r="I290" s="5"/>
    </row>
    <row r="291" spans="2:9" x14ac:dyDescent="0.25">
      <c r="B291" s="5"/>
      <c r="C291" s="5"/>
      <c r="D291" s="5"/>
      <c r="E291" s="5"/>
      <c r="F291" s="5"/>
      <c r="G291" s="5"/>
      <c r="H291" s="5"/>
      <c r="I291" s="5"/>
    </row>
    <row r="292" spans="2:9" x14ac:dyDescent="0.25">
      <c r="B292" s="5"/>
      <c r="C292" s="5"/>
      <c r="D292" s="5"/>
      <c r="E292" s="5"/>
      <c r="F292" s="5"/>
      <c r="G292" s="5"/>
      <c r="H292" s="5"/>
      <c r="I292" s="5"/>
    </row>
    <row r="293" spans="2:9" x14ac:dyDescent="0.25">
      <c r="B293" s="5"/>
      <c r="C293" s="5"/>
      <c r="D293" s="5"/>
      <c r="E293" s="5"/>
      <c r="F293" s="5"/>
      <c r="G293" s="5"/>
      <c r="H293" s="5"/>
      <c r="I293" s="5"/>
    </row>
    <row r="294" spans="2:9" x14ac:dyDescent="0.25">
      <c r="B294" s="5"/>
      <c r="C294" s="5"/>
      <c r="D294" s="5"/>
      <c r="E294" s="5"/>
      <c r="F294" s="5"/>
      <c r="G294" s="5"/>
      <c r="H294" s="5"/>
      <c r="I294" s="5"/>
    </row>
    <row r="295" spans="2:9" x14ac:dyDescent="0.25">
      <c r="B295" s="5"/>
      <c r="C295" s="5"/>
      <c r="D295" s="5"/>
      <c r="E295" s="5"/>
      <c r="F295" s="5"/>
      <c r="G295" s="5"/>
      <c r="H295" s="5"/>
      <c r="I295" s="5"/>
    </row>
    <row r="296" spans="2:9" x14ac:dyDescent="0.25">
      <c r="B296" s="5"/>
      <c r="C296" s="5"/>
      <c r="D296" s="5"/>
      <c r="E296" s="5"/>
      <c r="F296" s="5"/>
      <c r="G296" s="5"/>
      <c r="H296" s="5"/>
      <c r="I296" s="5"/>
    </row>
    <row r="297" spans="2:9" x14ac:dyDescent="0.25">
      <c r="B297" s="5"/>
      <c r="C297" s="5"/>
      <c r="D297" s="5"/>
      <c r="E297" s="5"/>
      <c r="F297" s="5"/>
      <c r="G297" s="5"/>
      <c r="H297" s="5"/>
      <c r="I297" s="5"/>
    </row>
    <row r="298" spans="2:9" x14ac:dyDescent="0.25">
      <c r="B298" s="5"/>
      <c r="C298" s="5"/>
      <c r="D298" s="5"/>
      <c r="E298" s="5"/>
      <c r="F298" s="5"/>
      <c r="G298" s="5"/>
      <c r="H298" s="5"/>
      <c r="I298" s="5"/>
    </row>
    <row r="299" spans="2:9" x14ac:dyDescent="0.25">
      <c r="B299" s="5"/>
      <c r="C299" s="5"/>
      <c r="D299" s="5"/>
      <c r="E299" s="5"/>
      <c r="F299" s="5"/>
      <c r="G299" s="5"/>
      <c r="H299" s="5"/>
      <c r="I299" s="5"/>
    </row>
    <row r="300" spans="2:9" x14ac:dyDescent="0.25">
      <c r="B300" s="5"/>
      <c r="C300" s="5"/>
      <c r="D300" s="5"/>
      <c r="E300" s="5"/>
      <c r="F300" s="5"/>
      <c r="G300" s="5"/>
      <c r="H300" s="5"/>
      <c r="I300" s="5"/>
    </row>
    <row r="301" spans="2:9" x14ac:dyDescent="0.25">
      <c r="B301" s="5"/>
      <c r="C301" s="5"/>
      <c r="D301" s="5"/>
      <c r="E301" s="5"/>
      <c r="F301" s="5"/>
      <c r="G301" s="5"/>
      <c r="H301" s="5"/>
      <c r="I301" s="5"/>
    </row>
    <row r="302" spans="2:9" x14ac:dyDescent="0.25">
      <c r="B302" s="5"/>
      <c r="C302" s="5"/>
      <c r="D302" s="5"/>
      <c r="E302" s="5"/>
      <c r="F302" s="5"/>
      <c r="G302" s="5"/>
      <c r="H302" s="5"/>
      <c r="I302" s="5"/>
    </row>
    <row r="303" spans="2:9" x14ac:dyDescent="0.25">
      <c r="B303" s="5"/>
      <c r="C303" s="5"/>
      <c r="D303" s="5"/>
      <c r="E303" s="5"/>
      <c r="F303" s="5"/>
      <c r="G303" s="5"/>
      <c r="H303" s="5"/>
      <c r="I303" s="5"/>
    </row>
    <row r="304" spans="2:9" x14ac:dyDescent="0.25">
      <c r="B304" s="5"/>
      <c r="C304" s="5"/>
      <c r="D304" s="5"/>
      <c r="E304" s="5"/>
      <c r="F304" s="5"/>
      <c r="G304" s="5"/>
      <c r="H304" s="5"/>
      <c r="I304" s="5"/>
    </row>
    <row r="305" spans="2:9" x14ac:dyDescent="0.25">
      <c r="B305" s="5"/>
      <c r="C305" s="5"/>
      <c r="D305" s="5"/>
      <c r="E305" s="5"/>
      <c r="F305" s="5"/>
      <c r="G305" s="5"/>
      <c r="H305" s="5"/>
      <c r="I305" s="5"/>
    </row>
    <row r="306" spans="2:9" x14ac:dyDescent="0.25">
      <c r="B306" s="5"/>
      <c r="C306" s="5"/>
      <c r="D306" s="5"/>
      <c r="E306" s="5"/>
      <c r="F306" s="5"/>
      <c r="G306" s="5"/>
      <c r="H306" s="5"/>
      <c r="I306" s="5"/>
    </row>
    <row r="307" spans="2:9" x14ac:dyDescent="0.25">
      <c r="B307" s="5"/>
      <c r="C307" s="5"/>
      <c r="D307" s="5"/>
      <c r="E307" s="5"/>
      <c r="F307" s="5"/>
      <c r="G307" s="5"/>
      <c r="H307" s="5"/>
      <c r="I307" s="5"/>
    </row>
    <row r="308" spans="2:9" x14ac:dyDescent="0.25">
      <c r="B308" s="5"/>
      <c r="C308" s="5"/>
      <c r="D308" s="5"/>
      <c r="E308" s="5"/>
      <c r="F308" s="5"/>
      <c r="G308" s="5"/>
      <c r="H308" s="5"/>
      <c r="I308" s="5"/>
    </row>
    <row r="309" spans="2:9" x14ac:dyDescent="0.25">
      <c r="B309" s="5"/>
      <c r="C309" s="5"/>
      <c r="D309" s="5"/>
      <c r="E309" s="5"/>
      <c r="F309" s="5"/>
      <c r="G309" s="5"/>
      <c r="H309" s="5"/>
      <c r="I309" s="5"/>
    </row>
    <row r="310" spans="2:9" x14ac:dyDescent="0.25">
      <c r="B310" s="5"/>
      <c r="C310" s="5"/>
      <c r="D310" s="5"/>
      <c r="E310" s="5"/>
      <c r="F310" s="5"/>
      <c r="G310" s="5"/>
      <c r="H310" s="5"/>
      <c r="I310" s="5"/>
    </row>
    <row r="311" spans="2:9" x14ac:dyDescent="0.25">
      <c r="B311" s="5"/>
      <c r="C311" s="5"/>
      <c r="D311" s="5"/>
      <c r="E311" s="5"/>
      <c r="F311" s="5"/>
      <c r="G311" s="5"/>
      <c r="H311" s="5"/>
      <c r="I311" s="5"/>
    </row>
    <row r="312" spans="2:9" x14ac:dyDescent="0.25">
      <c r="B312" s="5"/>
      <c r="C312" s="5"/>
      <c r="D312" s="5"/>
      <c r="E312" s="5"/>
      <c r="F312" s="5"/>
      <c r="G312" s="5"/>
      <c r="H312" s="5"/>
      <c r="I312" s="5"/>
    </row>
    <row r="313" spans="2:9" x14ac:dyDescent="0.25">
      <c r="B313" s="5"/>
      <c r="C313" s="5"/>
      <c r="D313" s="5"/>
      <c r="E313" s="5"/>
      <c r="F313" s="5"/>
      <c r="G313" s="5"/>
      <c r="H313" s="5"/>
      <c r="I313" s="5"/>
    </row>
    <row r="314" spans="2:9" x14ac:dyDescent="0.25">
      <c r="B314" s="5"/>
      <c r="C314" s="5"/>
      <c r="D314" s="5"/>
      <c r="E314" s="5"/>
      <c r="F314" s="5"/>
      <c r="G314" s="5"/>
      <c r="H314" s="5"/>
      <c r="I314" s="5"/>
    </row>
    <row r="315" spans="2:9" x14ac:dyDescent="0.25">
      <c r="B315" s="5"/>
      <c r="C315" s="5"/>
      <c r="D315" s="5"/>
      <c r="E315" s="5"/>
      <c r="F315" s="5"/>
      <c r="G315" s="5"/>
      <c r="H315" s="5"/>
      <c r="I315" s="5"/>
    </row>
    <row r="316" spans="2:9" x14ac:dyDescent="0.25">
      <c r="B316" s="5"/>
      <c r="C316" s="5"/>
      <c r="D316" s="5"/>
      <c r="E316" s="5"/>
      <c r="F316" s="5"/>
      <c r="G316" s="5"/>
      <c r="H316" s="5"/>
      <c r="I316" s="5"/>
    </row>
    <row r="317" spans="2:9" x14ac:dyDescent="0.25">
      <c r="B317" s="5"/>
      <c r="C317" s="5"/>
      <c r="D317" s="5"/>
      <c r="E317" s="5"/>
      <c r="F317" s="5"/>
      <c r="G317" s="5"/>
      <c r="H317" s="5"/>
      <c r="I317" s="5"/>
    </row>
    <row r="318" spans="2:9" x14ac:dyDescent="0.25">
      <c r="B318" s="5"/>
      <c r="C318" s="5"/>
      <c r="D318" s="5"/>
      <c r="E318" s="5"/>
      <c r="F318" s="5"/>
      <c r="G318" s="5"/>
      <c r="H318" s="5"/>
      <c r="I318" s="5"/>
    </row>
    <row r="319" spans="2:9" x14ac:dyDescent="0.25">
      <c r="B319" s="5"/>
      <c r="C319" s="5"/>
      <c r="D319" s="5"/>
      <c r="E319" s="5"/>
      <c r="F319" s="5"/>
      <c r="G319" s="5"/>
      <c r="H319" s="5"/>
      <c r="I319" s="5"/>
    </row>
    <row r="320" spans="2:9" x14ac:dyDescent="0.25">
      <c r="B320" s="5"/>
      <c r="C320" s="5"/>
      <c r="D320" s="5"/>
      <c r="E320" s="5"/>
      <c r="F320" s="5"/>
      <c r="G320" s="5"/>
      <c r="H320" s="5"/>
      <c r="I320" s="5"/>
    </row>
    <row r="321" spans="2:9" x14ac:dyDescent="0.25">
      <c r="B321" s="5"/>
      <c r="C321" s="5"/>
      <c r="D321" s="5"/>
      <c r="E321" s="5"/>
      <c r="F321" s="5"/>
      <c r="G321" s="5"/>
      <c r="H321" s="5"/>
      <c r="I321" s="5"/>
    </row>
    <row r="322" spans="2:9" x14ac:dyDescent="0.25">
      <c r="B322" s="5"/>
      <c r="C322" s="5"/>
      <c r="D322" s="5"/>
      <c r="E322" s="5"/>
      <c r="F322" s="5"/>
      <c r="G322" s="5"/>
      <c r="H322" s="5"/>
      <c r="I322" s="5"/>
    </row>
    <row r="323" spans="2:9" x14ac:dyDescent="0.25">
      <c r="B323" s="5"/>
      <c r="C323" s="5"/>
      <c r="D323" s="5"/>
      <c r="E323" s="5"/>
      <c r="F323" s="5"/>
      <c r="G323" s="5"/>
      <c r="H323" s="5"/>
      <c r="I323" s="5"/>
    </row>
    <row r="324" spans="2:9" x14ac:dyDescent="0.25">
      <c r="B324" s="5"/>
      <c r="C324" s="5"/>
      <c r="D324" s="5"/>
      <c r="E324" s="5"/>
      <c r="F324" s="5"/>
      <c r="G324" s="5"/>
      <c r="H324" s="5"/>
      <c r="I324" s="5"/>
    </row>
    <row r="325" spans="2:9" x14ac:dyDescent="0.25">
      <c r="B325" s="5"/>
      <c r="C325" s="5"/>
      <c r="D325" s="5"/>
      <c r="E325" s="5"/>
      <c r="F325" s="5"/>
      <c r="G325" s="5"/>
      <c r="H325" s="5"/>
      <c r="I325" s="5"/>
    </row>
    <row r="326" spans="2:9" x14ac:dyDescent="0.25">
      <c r="B326" s="5"/>
      <c r="C326" s="5"/>
      <c r="D326" s="5"/>
      <c r="E326" s="5"/>
      <c r="F326" s="5"/>
      <c r="G326" s="5"/>
      <c r="H326" s="5"/>
      <c r="I326" s="5"/>
    </row>
    <row r="327" spans="2:9" x14ac:dyDescent="0.25">
      <c r="B327" s="5"/>
      <c r="C327" s="5"/>
      <c r="D327" s="5"/>
      <c r="E327" s="5"/>
      <c r="F327" s="5"/>
      <c r="G327" s="5"/>
      <c r="H327" s="5"/>
      <c r="I327" s="5"/>
    </row>
    <row r="328" spans="2:9" x14ac:dyDescent="0.25">
      <c r="B328" s="5"/>
      <c r="C328" s="5"/>
      <c r="D328" s="5"/>
      <c r="E328" s="5"/>
      <c r="F328" s="5"/>
      <c r="G328" s="5"/>
      <c r="H328" s="5"/>
      <c r="I328" s="5"/>
    </row>
    <row r="329" spans="2:9" x14ac:dyDescent="0.25">
      <c r="B329" s="5"/>
      <c r="C329" s="5"/>
      <c r="D329" s="5"/>
      <c r="E329" s="5"/>
      <c r="F329" s="5"/>
      <c r="G329" s="5"/>
      <c r="H329" s="5"/>
      <c r="I329" s="5"/>
    </row>
    <row r="330" spans="2:9" x14ac:dyDescent="0.25">
      <c r="B330" s="5"/>
      <c r="C330" s="5"/>
      <c r="D330" s="5"/>
      <c r="E330" s="5"/>
      <c r="F330" s="5"/>
      <c r="G330" s="5"/>
      <c r="H330" s="5"/>
      <c r="I330" s="5"/>
    </row>
    <row r="331" spans="2:9" x14ac:dyDescent="0.25">
      <c r="B331" s="5"/>
      <c r="C331" s="5"/>
      <c r="D331" s="5"/>
      <c r="E331" s="5"/>
      <c r="F331" s="5"/>
      <c r="G331" s="5"/>
      <c r="H331" s="5"/>
      <c r="I331" s="5"/>
    </row>
    <row r="332" spans="2:9" x14ac:dyDescent="0.25">
      <c r="B332" s="5"/>
      <c r="C332" s="5"/>
      <c r="D332" s="5"/>
      <c r="E332" s="5"/>
      <c r="F332" s="5"/>
      <c r="G332" s="5"/>
      <c r="H332" s="5"/>
      <c r="I332" s="5"/>
    </row>
    <row r="333" spans="2:9" x14ac:dyDescent="0.25">
      <c r="B333" s="5"/>
      <c r="C333" s="5"/>
      <c r="D333" s="5"/>
      <c r="E333" s="5"/>
      <c r="F333" s="5"/>
      <c r="G333" s="5"/>
      <c r="H333" s="5"/>
      <c r="I333" s="5"/>
    </row>
    <row r="334" spans="2:9" x14ac:dyDescent="0.25">
      <c r="B334" s="5"/>
      <c r="C334" s="5"/>
      <c r="D334" s="5"/>
      <c r="E334" s="5"/>
      <c r="F334" s="5"/>
      <c r="G334" s="5"/>
      <c r="H334" s="5"/>
      <c r="I334" s="5"/>
    </row>
    <row r="335" spans="2:9" x14ac:dyDescent="0.25">
      <c r="B335" s="5"/>
      <c r="C335" s="5"/>
      <c r="D335" s="5"/>
      <c r="E335" s="5"/>
      <c r="F335" s="5"/>
      <c r="G335" s="5"/>
      <c r="H335" s="5"/>
      <c r="I335" s="5"/>
    </row>
    <row r="336" spans="2:9" x14ac:dyDescent="0.25">
      <c r="B336" s="5"/>
      <c r="C336" s="5"/>
      <c r="D336" s="5"/>
      <c r="E336" s="5"/>
      <c r="F336" s="5"/>
      <c r="G336" s="5"/>
      <c r="H336" s="5"/>
      <c r="I336" s="5"/>
    </row>
    <row r="337" spans="2:9" x14ac:dyDescent="0.25">
      <c r="B337" s="5"/>
      <c r="C337" s="5"/>
      <c r="D337" s="5"/>
      <c r="E337" s="5"/>
      <c r="F337" s="5"/>
      <c r="G337" s="5"/>
      <c r="H337" s="5"/>
      <c r="I337" s="5"/>
    </row>
    <row r="338" spans="2:9" x14ac:dyDescent="0.25">
      <c r="B338" s="5"/>
      <c r="C338" s="5"/>
      <c r="D338" s="5"/>
      <c r="E338" s="5"/>
      <c r="F338" s="5"/>
      <c r="G338" s="5"/>
      <c r="H338" s="5"/>
      <c r="I338" s="5"/>
    </row>
    <row r="339" spans="2:9" x14ac:dyDescent="0.25">
      <c r="B339" s="5"/>
      <c r="C339" s="5"/>
      <c r="D339" s="5"/>
      <c r="E339" s="5"/>
      <c r="F339" s="5"/>
      <c r="G339" s="5"/>
      <c r="H339" s="5"/>
      <c r="I339" s="5"/>
    </row>
    <row r="340" spans="2:9" x14ac:dyDescent="0.25">
      <c r="B340" s="5"/>
      <c r="C340" s="5"/>
      <c r="D340" s="5"/>
      <c r="E340" s="5"/>
      <c r="F340" s="5"/>
      <c r="G340" s="5"/>
      <c r="H340" s="5"/>
      <c r="I340" s="5"/>
    </row>
    <row r="341" spans="2:9" x14ac:dyDescent="0.25">
      <c r="B341" s="5"/>
      <c r="C341" s="5"/>
      <c r="D341" s="5"/>
      <c r="E341" s="5"/>
      <c r="F341" s="5"/>
      <c r="G341" s="5"/>
      <c r="H341" s="5"/>
      <c r="I341" s="5"/>
    </row>
    <row r="342" spans="2:9" x14ac:dyDescent="0.25">
      <c r="B342" s="5"/>
      <c r="C342" s="5"/>
      <c r="D342" s="5"/>
      <c r="E342" s="5"/>
      <c r="F342" s="5"/>
      <c r="G342" s="5"/>
      <c r="H342" s="5"/>
      <c r="I342" s="5"/>
    </row>
    <row r="343" spans="2:9" x14ac:dyDescent="0.25">
      <c r="B343" s="5"/>
      <c r="C343" s="5"/>
      <c r="D343" s="5"/>
      <c r="E343" s="5"/>
      <c r="F343" s="5"/>
      <c r="G343" s="5"/>
      <c r="H343" s="5"/>
      <c r="I343" s="5"/>
    </row>
    <row r="344" spans="2:9" x14ac:dyDescent="0.25">
      <c r="B344" s="5"/>
      <c r="C344" s="5"/>
      <c r="D344" s="5"/>
      <c r="E344" s="5"/>
      <c r="F344" s="5"/>
      <c r="G344" s="5"/>
      <c r="H344" s="5"/>
      <c r="I344" s="5"/>
    </row>
    <row r="345" spans="2:9" x14ac:dyDescent="0.25">
      <c r="B345" s="5"/>
      <c r="C345" s="5"/>
      <c r="D345" s="5"/>
      <c r="E345" s="5"/>
      <c r="F345" s="5"/>
      <c r="G345" s="5"/>
      <c r="H345" s="5"/>
      <c r="I345" s="5"/>
    </row>
    <row r="346" spans="2:9" x14ac:dyDescent="0.25">
      <c r="B346" s="5"/>
      <c r="C346" s="5"/>
      <c r="D346" s="5"/>
      <c r="E346" s="5"/>
      <c r="F346" s="5"/>
      <c r="G346" s="5"/>
      <c r="H346" s="5"/>
      <c r="I346" s="5"/>
    </row>
    <row r="347" spans="2:9" x14ac:dyDescent="0.25">
      <c r="B347" s="5"/>
      <c r="C347" s="5"/>
      <c r="D347" s="5"/>
      <c r="E347" s="5"/>
      <c r="F347" s="5"/>
      <c r="G347" s="5"/>
      <c r="H347" s="5"/>
      <c r="I347" s="5"/>
    </row>
    <row r="348" spans="2:9" x14ac:dyDescent="0.25">
      <c r="B348" s="5"/>
      <c r="C348" s="5"/>
      <c r="D348" s="5"/>
      <c r="E348" s="5"/>
      <c r="F348" s="5"/>
      <c r="G348" s="5"/>
      <c r="H348" s="5"/>
      <c r="I348" s="5"/>
    </row>
    <row r="349" spans="2:9" x14ac:dyDescent="0.25">
      <c r="B349" s="5"/>
      <c r="C349" s="5"/>
      <c r="D349" s="5"/>
      <c r="E349" s="5"/>
      <c r="F349" s="5"/>
      <c r="G349" s="5"/>
      <c r="H349" s="5"/>
      <c r="I349" s="5"/>
    </row>
    <row r="350" spans="2:9" x14ac:dyDescent="0.25">
      <c r="B350" s="5"/>
      <c r="C350" s="5"/>
      <c r="D350" s="5"/>
      <c r="E350" s="5"/>
      <c r="F350" s="5"/>
      <c r="G350" s="5"/>
      <c r="H350" s="5"/>
      <c r="I350" s="5"/>
    </row>
    <row r="351" spans="2:9" x14ac:dyDescent="0.25">
      <c r="B351" s="5"/>
      <c r="C351" s="5"/>
      <c r="D351" s="5"/>
      <c r="E351" s="5"/>
      <c r="F351" s="5"/>
      <c r="G351" s="5"/>
      <c r="H351" s="5"/>
      <c r="I351" s="5"/>
    </row>
    <row r="352" spans="2:9" x14ac:dyDescent="0.25">
      <c r="B352" s="5"/>
      <c r="C352" s="5"/>
      <c r="D352" s="5"/>
      <c r="E352" s="5"/>
      <c r="F352" s="5"/>
      <c r="G352" s="5"/>
      <c r="H352" s="5"/>
      <c r="I352" s="5"/>
    </row>
    <row r="353" spans="2:9" x14ac:dyDescent="0.25">
      <c r="B353" s="5"/>
      <c r="C353" s="5"/>
      <c r="D353" s="5"/>
      <c r="E353" s="5"/>
      <c r="F353" s="5"/>
      <c r="G353" s="5"/>
      <c r="H353" s="5"/>
      <c r="I353" s="5"/>
    </row>
    <row r="354" spans="2:9" x14ac:dyDescent="0.25">
      <c r="B354" s="5"/>
      <c r="C354" s="5"/>
      <c r="D354" s="5"/>
      <c r="E354" s="5"/>
      <c r="F354" s="5"/>
      <c r="G354" s="5"/>
      <c r="H354" s="5"/>
      <c r="I354" s="5"/>
    </row>
    <row r="355" spans="2:9" x14ac:dyDescent="0.25">
      <c r="B355" s="5"/>
      <c r="C355" s="5"/>
      <c r="D355" s="5"/>
      <c r="E355" s="5"/>
      <c r="F355" s="5"/>
      <c r="G355" s="5"/>
      <c r="H355" s="5"/>
      <c r="I355" s="5"/>
    </row>
    <row r="356" spans="2:9" x14ac:dyDescent="0.25">
      <c r="B356" s="5"/>
      <c r="C356" s="5"/>
      <c r="D356" s="5"/>
      <c r="E356" s="5"/>
      <c r="F356" s="5"/>
      <c r="G356" s="5"/>
      <c r="H356" s="5"/>
      <c r="I356" s="5"/>
    </row>
    <row r="357" spans="2:9" x14ac:dyDescent="0.25">
      <c r="B357" s="5"/>
      <c r="C357" s="5"/>
      <c r="D357" s="5"/>
      <c r="E357" s="5"/>
      <c r="F357" s="5"/>
      <c r="G357" s="5"/>
      <c r="H357" s="5"/>
      <c r="I357" s="5"/>
    </row>
    <row r="358" spans="2:9" x14ac:dyDescent="0.25">
      <c r="B358" s="5"/>
      <c r="C358" s="5"/>
      <c r="D358" s="5"/>
      <c r="E358" s="5"/>
      <c r="F358" s="5"/>
      <c r="G358" s="5"/>
      <c r="H358" s="5"/>
      <c r="I358" s="5"/>
    </row>
    <row r="359" spans="2:9" x14ac:dyDescent="0.25">
      <c r="B359" s="5"/>
      <c r="C359" s="5"/>
      <c r="D359" s="5"/>
      <c r="E359" s="5"/>
      <c r="F359" s="5"/>
      <c r="G359" s="5"/>
      <c r="H359" s="5"/>
      <c r="I359" s="5"/>
    </row>
    <row r="360" spans="2:9" x14ac:dyDescent="0.25">
      <c r="B360" s="5"/>
      <c r="C360" s="5"/>
      <c r="D360" s="5"/>
      <c r="E360" s="5"/>
      <c r="F360" s="5"/>
      <c r="G360" s="5"/>
      <c r="H360" s="5"/>
      <c r="I360" s="5"/>
    </row>
    <row r="361" spans="2:9" x14ac:dyDescent="0.25">
      <c r="B361" s="5"/>
      <c r="C361" s="5"/>
      <c r="D361" s="5"/>
      <c r="E361" s="5"/>
      <c r="F361" s="5"/>
      <c r="G361" s="5"/>
      <c r="H361" s="5"/>
      <c r="I361" s="5"/>
    </row>
    <row r="362" spans="2:9" x14ac:dyDescent="0.25">
      <c r="B362" s="5"/>
      <c r="C362" s="5"/>
      <c r="D362" s="5"/>
      <c r="E362" s="5"/>
      <c r="F362" s="5"/>
      <c r="G362" s="5"/>
      <c r="H362" s="5"/>
      <c r="I362" s="5"/>
    </row>
    <row r="363" spans="2:9" x14ac:dyDescent="0.25">
      <c r="B363" s="5"/>
      <c r="C363" s="5"/>
      <c r="D363" s="5"/>
      <c r="E363" s="5"/>
      <c r="F363" s="5"/>
      <c r="G363" s="5"/>
      <c r="H363" s="5"/>
      <c r="I363" s="5"/>
    </row>
    <row r="364" spans="2:9" x14ac:dyDescent="0.25">
      <c r="B364" s="5"/>
      <c r="C364" s="5"/>
      <c r="D364" s="5"/>
      <c r="E364" s="5"/>
      <c r="F364" s="5"/>
      <c r="G364" s="5"/>
      <c r="H364" s="5"/>
      <c r="I364" s="5"/>
    </row>
    <row r="365" spans="2:9" x14ac:dyDescent="0.25">
      <c r="B365" s="5"/>
      <c r="C365" s="5"/>
      <c r="D365" s="5"/>
      <c r="E365" s="5"/>
      <c r="F365" s="5"/>
      <c r="G365" s="5"/>
      <c r="H365" s="5"/>
      <c r="I365" s="5"/>
    </row>
    <row r="366" spans="2:9" x14ac:dyDescent="0.25">
      <c r="B366" s="5"/>
      <c r="C366" s="5"/>
      <c r="D366" s="5"/>
      <c r="E366" s="5"/>
      <c r="F366" s="5"/>
      <c r="G366" s="5"/>
      <c r="H366" s="5"/>
      <c r="I366" s="5"/>
    </row>
    <row r="367" spans="2:9" x14ac:dyDescent="0.25">
      <c r="B367" s="5"/>
      <c r="C367" s="5"/>
      <c r="D367" s="5"/>
      <c r="E367" s="5"/>
      <c r="F367" s="5"/>
      <c r="G367" s="5"/>
      <c r="H367" s="5"/>
      <c r="I367" s="5"/>
    </row>
    <row r="368" spans="2:9" x14ac:dyDescent="0.25">
      <c r="B368" s="5"/>
      <c r="C368" s="5"/>
      <c r="D368" s="5"/>
      <c r="E368" s="5"/>
      <c r="F368" s="5"/>
      <c r="G368" s="5"/>
      <c r="H368" s="5"/>
      <c r="I368" s="5"/>
    </row>
    <row r="369" spans="2:9" x14ac:dyDescent="0.25">
      <c r="B369" s="5"/>
      <c r="C369" s="5"/>
      <c r="D369" s="5"/>
      <c r="E369" s="5"/>
      <c r="F369" s="5"/>
      <c r="G369" s="5"/>
      <c r="H369" s="5"/>
      <c r="I369" s="5"/>
    </row>
    <row r="370" spans="2:9" x14ac:dyDescent="0.25">
      <c r="B370" s="5"/>
      <c r="C370" s="5"/>
      <c r="D370" s="5"/>
      <c r="E370" s="5"/>
      <c r="F370" s="5"/>
      <c r="G370" s="5"/>
      <c r="H370" s="5"/>
      <c r="I370" s="5"/>
    </row>
    <row r="371" spans="2:9" x14ac:dyDescent="0.25">
      <c r="B371" s="5"/>
      <c r="C371" s="5"/>
      <c r="D371" s="5"/>
      <c r="E371" s="5"/>
      <c r="F371" s="5"/>
      <c r="G371" s="5"/>
      <c r="H371" s="5"/>
      <c r="I371" s="5"/>
    </row>
    <row r="372" spans="2:9" x14ac:dyDescent="0.25">
      <c r="B372" s="5"/>
      <c r="C372" s="5"/>
      <c r="D372" s="5"/>
      <c r="E372" s="5"/>
      <c r="F372" s="5"/>
      <c r="G372" s="5"/>
      <c r="H372" s="5"/>
      <c r="I372" s="5"/>
    </row>
    <row r="373" spans="2:9" x14ac:dyDescent="0.25">
      <c r="B373" s="5"/>
      <c r="C373" s="5"/>
      <c r="D373" s="5"/>
      <c r="E373" s="5"/>
      <c r="F373" s="5"/>
      <c r="G373" s="5"/>
      <c r="H373" s="5"/>
      <c r="I373" s="5"/>
    </row>
    <row r="374" spans="2:9" x14ac:dyDescent="0.25">
      <c r="B374" s="5"/>
      <c r="C374" s="5"/>
      <c r="D374" s="5"/>
      <c r="E374" s="5"/>
      <c r="F374" s="5"/>
      <c r="G374" s="5"/>
      <c r="H374" s="5"/>
      <c r="I374" s="5"/>
    </row>
    <row r="375" spans="2:9" x14ac:dyDescent="0.25">
      <c r="B375" s="5"/>
      <c r="C375" s="5"/>
      <c r="D375" s="5"/>
      <c r="E375" s="5"/>
      <c r="F375" s="5"/>
      <c r="G375" s="5"/>
      <c r="H375" s="5"/>
      <c r="I375" s="5"/>
    </row>
    <row r="376" spans="2:9" x14ac:dyDescent="0.25">
      <c r="B376" s="5"/>
      <c r="C376" s="5"/>
      <c r="D376" s="5"/>
      <c r="E376" s="5"/>
      <c r="F376" s="5"/>
      <c r="G376" s="5"/>
      <c r="H376" s="5"/>
      <c r="I376" s="5"/>
    </row>
    <row r="377" spans="2:9" x14ac:dyDescent="0.25">
      <c r="B377" s="5"/>
      <c r="C377" s="5"/>
      <c r="D377" s="5"/>
      <c r="E377" s="5"/>
      <c r="F377" s="5"/>
      <c r="G377" s="5"/>
      <c r="H377" s="5"/>
      <c r="I377" s="5"/>
    </row>
    <row r="378" spans="2:9" x14ac:dyDescent="0.25">
      <c r="B378" s="5"/>
      <c r="C378" s="5"/>
      <c r="D378" s="5"/>
      <c r="E378" s="5"/>
      <c r="F378" s="5"/>
      <c r="G378" s="5"/>
      <c r="H378" s="5"/>
      <c r="I378" s="5"/>
    </row>
    <row r="379" spans="2:9" x14ac:dyDescent="0.25">
      <c r="B379" s="5"/>
      <c r="C379" s="5"/>
      <c r="D379" s="5"/>
      <c r="E379" s="5"/>
      <c r="F379" s="5"/>
      <c r="G379" s="5"/>
      <c r="H379" s="5"/>
      <c r="I379" s="5"/>
    </row>
    <row r="380" spans="2:9" x14ac:dyDescent="0.25">
      <c r="B380" s="5"/>
      <c r="C380" s="5"/>
      <c r="D380" s="5"/>
      <c r="E380" s="5"/>
      <c r="F380" s="5"/>
      <c r="G380" s="5"/>
      <c r="H380" s="5"/>
      <c r="I380" s="5"/>
    </row>
    <row r="381" spans="2:9" x14ac:dyDescent="0.25">
      <c r="B381" s="5"/>
      <c r="C381" s="5"/>
      <c r="D381" s="5"/>
      <c r="E381" s="5"/>
      <c r="F381" s="5"/>
      <c r="G381" s="5"/>
      <c r="H381" s="5"/>
      <c r="I381" s="5"/>
    </row>
    <row r="382" spans="2:9" x14ac:dyDescent="0.25">
      <c r="B382" s="5"/>
      <c r="C382" s="5"/>
      <c r="D382" s="5"/>
      <c r="E382" s="5"/>
      <c r="F382" s="5"/>
      <c r="G382" s="5"/>
      <c r="H382" s="5"/>
      <c r="I382" s="5"/>
    </row>
    <row r="383" spans="2:9" x14ac:dyDescent="0.25">
      <c r="B383" s="5"/>
      <c r="C383" s="5"/>
      <c r="D383" s="5"/>
      <c r="E383" s="5"/>
      <c r="F383" s="5"/>
      <c r="G383" s="5"/>
      <c r="H383" s="5"/>
      <c r="I383" s="5"/>
    </row>
    <row r="384" spans="2:9" x14ac:dyDescent="0.25">
      <c r="B384" s="5"/>
      <c r="C384" s="5"/>
      <c r="D384" s="5"/>
      <c r="E384" s="5"/>
      <c r="F384" s="5"/>
      <c r="G384" s="5"/>
      <c r="H384" s="5"/>
      <c r="I384" s="5"/>
    </row>
    <row r="385" spans="2:9" x14ac:dyDescent="0.25">
      <c r="B385" s="5"/>
      <c r="C385" s="5"/>
      <c r="D385" s="5"/>
      <c r="E385" s="5"/>
      <c r="F385" s="5"/>
      <c r="G385" s="5"/>
      <c r="H385" s="5"/>
      <c r="I385" s="5"/>
    </row>
    <row r="386" spans="2:9" x14ac:dyDescent="0.25">
      <c r="B386" s="5"/>
      <c r="C386" s="5"/>
      <c r="D386" s="5"/>
      <c r="E386" s="5"/>
      <c r="F386" s="5"/>
      <c r="G386" s="5"/>
      <c r="H386" s="5"/>
      <c r="I386" s="5"/>
    </row>
    <row r="387" spans="2:9" x14ac:dyDescent="0.25">
      <c r="B387" s="5"/>
      <c r="C387" s="5"/>
      <c r="D387" s="5"/>
      <c r="E387" s="5"/>
      <c r="F387" s="5"/>
      <c r="G387" s="5"/>
      <c r="H387" s="5"/>
      <c r="I387" s="5"/>
    </row>
    <row r="388" spans="2:9" x14ac:dyDescent="0.25">
      <c r="B388" s="5"/>
      <c r="C388" s="5"/>
      <c r="D388" s="5"/>
      <c r="E388" s="5"/>
      <c r="F388" s="5"/>
      <c r="G388" s="5"/>
      <c r="H388" s="5"/>
      <c r="I388" s="5"/>
    </row>
    <row r="389" spans="2:9" x14ac:dyDescent="0.25">
      <c r="B389" s="5"/>
      <c r="C389" s="5"/>
      <c r="D389" s="5"/>
      <c r="E389" s="5"/>
      <c r="F389" s="5"/>
      <c r="G389" s="5"/>
      <c r="H389" s="5"/>
      <c r="I389" s="5"/>
    </row>
    <row r="390" spans="2:9" x14ac:dyDescent="0.25">
      <c r="B390" s="5"/>
      <c r="C390" s="5"/>
      <c r="D390" s="5"/>
      <c r="E390" s="5"/>
      <c r="F390" s="5"/>
      <c r="G390" s="5"/>
      <c r="H390" s="5"/>
      <c r="I390" s="5"/>
    </row>
    <row r="391" spans="2:9" x14ac:dyDescent="0.25">
      <c r="B391" s="5"/>
      <c r="C391" s="5"/>
      <c r="D391" s="5"/>
      <c r="E391" s="5"/>
      <c r="F391" s="5"/>
      <c r="G391" s="5"/>
      <c r="H391" s="5"/>
      <c r="I391" s="5"/>
    </row>
    <row r="392" spans="2:9" x14ac:dyDescent="0.25">
      <c r="B392" s="5"/>
      <c r="C392" s="5"/>
      <c r="D392" s="5"/>
      <c r="E392" s="5"/>
      <c r="F392" s="5"/>
      <c r="G392" s="5"/>
      <c r="H392" s="5"/>
      <c r="I392" s="5"/>
    </row>
    <row r="393" spans="2:9" x14ac:dyDescent="0.25">
      <c r="B393" s="5"/>
      <c r="C393" s="5"/>
      <c r="D393" s="5"/>
      <c r="E393" s="5"/>
      <c r="F393" s="5"/>
      <c r="G393" s="5"/>
      <c r="H393" s="5"/>
      <c r="I393" s="5"/>
    </row>
    <row r="394" spans="2:9" x14ac:dyDescent="0.25">
      <c r="B394" s="5"/>
      <c r="C394" s="5"/>
      <c r="D394" s="5"/>
      <c r="E394" s="5"/>
      <c r="F394" s="5"/>
      <c r="G394" s="5"/>
      <c r="H394" s="5"/>
      <c r="I394" s="5"/>
    </row>
    <row r="395" spans="2:9" x14ac:dyDescent="0.25">
      <c r="B395" s="5"/>
      <c r="C395" s="5"/>
      <c r="D395" s="5"/>
      <c r="E395" s="5"/>
      <c r="F395" s="5"/>
      <c r="G395" s="5"/>
      <c r="H395" s="5"/>
      <c r="I395" s="5"/>
    </row>
    <row r="396" spans="2:9" x14ac:dyDescent="0.25">
      <c r="B396" s="5"/>
      <c r="C396" s="5"/>
      <c r="D396" s="5"/>
      <c r="E396" s="5"/>
      <c r="F396" s="5"/>
      <c r="G396" s="5"/>
      <c r="H396" s="5"/>
      <c r="I396" s="5"/>
    </row>
    <row r="397" spans="2:9" x14ac:dyDescent="0.25">
      <c r="B397" s="5"/>
      <c r="C397" s="5"/>
      <c r="D397" s="5"/>
      <c r="E397" s="5"/>
      <c r="F397" s="5"/>
      <c r="G397" s="5"/>
      <c r="H397" s="5"/>
      <c r="I397" s="5"/>
    </row>
    <row r="398" spans="2:9" x14ac:dyDescent="0.25">
      <c r="B398" s="5"/>
      <c r="C398" s="5"/>
      <c r="D398" s="5"/>
      <c r="E398" s="5"/>
      <c r="F398" s="5"/>
      <c r="G398" s="5"/>
      <c r="H398" s="5"/>
      <c r="I398" s="5"/>
    </row>
    <row r="399" spans="2:9" x14ac:dyDescent="0.25">
      <c r="B399" s="5"/>
      <c r="C399" s="5"/>
      <c r="D399" s="5"/>
      <c r="E399" s="5"/>
      <c r="F399" s="5"/>
      <c r="G399" s="5"/>
      <c r="H399" s="5"/>
      <c r="I399" s="5"/>
    </row>
    <row r="400" spans="2:9" x14ac:dyDescent="0.25">
      <c r="B400" s="5"/>
      <c r="C400" s="5"/>
      <c r="D400" s="5"/>
      <c r="E400" s="5"/>
      <c r="F400" s="5"/>
      <c r="G400" s="5"/>
      <c r="H400" s="5"/>
      <c r="I400" s="5"/>
    </row>
    <row r="401" spans="2:9" x14ac:dyDescent="0.25">
      <c r="B401" s="5"/>
      <c r="C401" s="5"/>
      <c r="D401" s="5"/>
      <c r="E401" s="5"/>
      <c r="F401" s="5"/>
      <c r="G401" s="5"/>
      <c r="H401" s="5"/>
      <c r="I401" s="5"/>
    </row>
    <row r="402" spans="2:9" x14ac:dyDescent="0.25">
      <c r="B402" s="5"/>
      <c r="C402" s="5"/>
      <c r="D402" s="5"/>
      <c r="E402" s="5"/>
      <c r="F402" s="5"/>
      <c r="G402" s="5"/>
      <c r="H402" s="5"/>
      <c r="I402" s="5"/>
    </row>
    <row r="403" spans="2:9" x14ac:dyDescent="0.25">
      <c r="B403" s="5"/>
      <c r="C403" s="5"/>
      <c r="D403" s="5"/>
      <c r="E403" s="5"/>
      <c r="F403" s="5"/>
      <c r="G403" s="5"/>
      <c r="H403" s="5"/>
      <c r="I403" s="5"/>
    </row>
    <row r="404" spans="2:9" x14ac:dyDescent="0.25">
      <c r="B404" s="5"/>
      <c r="C404" s="5"/>
      <c r="D404" s="5"/>
      <c r="E404" s="5"/>
      <c r="F404" s="5"/>
      <c r="G404" s="5"/>
      <c r="H404" s="5"/>
      <c r="I404" s="5"/>
    </row>
    <row r="405" spans="2:9" x14ac:dyDescent="0.25">
      <c r="B405" s="5"/>
      <c r="C405" s="5"/>
      <c r="D405" s="5"/>
      <c r="E405" s="5"/>
      <c r="F405" s="5"/>
      <c r="G405" s="5"/>
      <c r="H405" s="5"/>
      <c r="I405" s="5"/>
    </row>
    <row r="406" spans="2:9" x14ac:dyDescent="0.25">
      <c r="B406" s="5"/>
      <c r="C406" s="5"/>
      <c r="D406" s="5"/>
      <c r="E406" s="5"/>
      <c r="F406" s="5"/>
      <c r="G406" s="5"/>
      <c r="H406" s="5"/>
      <c r="I406" s="5"/>
    </row>
    <row r="407" spans="2:9" x14ac:dyDescent="0.25">
      <c r="B407" s="5"/>
      <c r="C407" s="5"/>
      <c r="D407" s="5"/>
      <c r="E407" s="5"/>
      <c r="F407" s="5"/>
      <c r="G407" s="5"/>
      <c r="H407" s="5"/>
      <c r="I407" s="5"/>
    </row>
    <row r="408" spans="2:9" x14ac:dyDescent="0.25">
      <c r="B408" s="5"/>
      <c r="C408" s="5"/>
      <c r="D408" s="5"/>
      <c r="E408" s="5"/>
      <c r="F408" s="5"/>
      <c r="G408" s="5"/>
      <c r="H408" s="5"/>
      <c r="I408" s="5"/>
    </row>
    <row r="409" spans="2:9" x14ac:dyDescent="0.25">
      <c r="B409" s="5"/>
      <c r="C409" s="5"/>
      <c r="D409" s="5"/>
      <c r="E409" s="5"/>
      <c r="F409" s="5"/>
      <c r="G409" s="5"/>
      <c r="H409" s="5"/>
      <c r="I409" s="5"/>
    </row>
    <row r="410" spans="2:9" x14ac:dyDescent="0.25">
      <c r="B410" s="5"/>
      <c r="C410" s="5"/>
      <c r="D410" s="5"/>
      <c r="E410" s="5"/>
      <c r="F410" s="5"/>
      <c r="G410" s="5"/>
      <c r="H410" s="5"/>
      <c r="I410" s="5"/>
    </row>
    <row r="411" spans="2:9" x14ac:dyDescent="0.25">
      <c r="B411" s="5"/>
      <c r="C411" s="5"/>
      <c r="D411" s="5"/>
      <c r="E411" s="5"/>
      <c r="F411" s="5"/>
      <c r="G411" s="5"/>
      <c r="H411" s="5"/>
      <c r="I411" s="5"/>
    </row>
    <row r="412" spans="2:9" x14ac:dyDescent="0.25">
      <c r="B412" s="5"/>
      <c r="C412" s="5"/>
      <c r="D412" s="5"/>
      <c r="E412" s="5"/>
      <c r="F412" s="5"/>
      <c r="G412" s="5"/>
      <c r="H412" s="5"/>
      <c r="I412" s="5"/>
    </row>
    <row r="413" spans="2:9" x14ac:dyDescent="0.25">
      <c r="B413" s="5"/>
      <c r="C413" s="5"/>
      <c r="D413" s="5"/>
      <c r="E413" s="5"/>
      <c r="F413" s="5"/>
      <c r="G413" s="5"/>
      <c r="H413" s="5"/>
      <c r="I413" s="5"/>
    </row>
    <row r="414" spans="2:9" x14ac:dyDescent="0.25">
      <c r="B414" s="5"/>
      <c r="C414" s="5"/>
      <c r="D414" s="5"/>
      <c r="E414" s="5"/>
      <c r="F414" s="5"/>
      <c r="G414" s="5"/>
      <c r="H414" s="5"/>
      <c r="I414" s="5"/>
    </row>
    <row r="415" spans="2:9" x14ac:dyDescent="0.25">
      <c r="B415" s="5"/>
      <c r="C415" s="5"/>
      <c r="D415" s="5"/>
      <c r="E415" s="5"/>
      <c r="F415" s="5"/>
      <c r="G415" s="5"/>
      <c r="H415" s="5"/>
      <c r="I415" s="5"/>
    </row>
    <row r="416" spans="2:9" x14ac:dyDescent="0.25">
      <c r="B416" s="5"/>
      <c r="C416" s="5"/>
      <c r="D416" s="5"/>
      <c r="E416" s="5"/>
      <c r="F416" s="5"/>
      <c r="G416" s="5"/>
      <c r="H416" s="5"/>
      <c r="I416" s="5"/>
    </row>
    <row r="417" spans="2:9" x14ac:dyDescent="0.25">
      <c r="B417" s="5"/>
      <c r="C417" s="5"/>
      <c r="D417" s="5"/>
      <c r="E417" s="5"/>
      <c r="F417" s="5"/>
      <c r="G417" s="5"/>
      <c r="H417" s="5"/>
      <c r="I417" s="5"/>
    </row>
    <row r="418" spans="2:9" x14ac:dyDescent="0.25">
      <c r="B418" s="5"/>
      <c r="C418" s="5"/>
      <c r="D418" s="5"/>
      <c r="E418" s="5"/>
      <c r="F418" s="5"/>
      <c r="G418" s="5"/>
      <c r="H418" s="5"/>
      <c r="I418" s="5"/>
    </row>
    <row r="419" spans="2:9" x14ac:dyDescent="0.25">
      <c r="B419" s="5"/>
      <c r="C419" s="5"/>
      <c r="D419" s="5"/>
      <c r="E419" s="5"/>
      <c r="F419" s="5"/>
      <c r="G419" s="5"/>
      <c r="H419" s="5"/>
      <c r="I419" s="5"/>
    </row>
    <row r="420" spans="2:9" x14ac:dyDescent="0.25">
      <c r="B420" s="5"/>
      <c r="C420" s="5"/>
      <c r="D420" s="5"/>
      <c r="E420" s="5"/>
      <c r="F420" s="5"/>
      <c r="G420" s="5"/>
      <c r="H420" s="5"/>
      <c r="I420" s="5"/>
    </row>
    <row r="421" spans="2:9" x14ac:dyDescent="0.25">
      <c r="B421" s="5"/>
      <c r="C421" s="5"/>
      <c r="D421" s="5"/>
      <c r="E421" s="5"/>
      <c r="F421" s="5"/>
      <c r="G421" s="5"/>
      <c r="H421" s="5"/>
      <c r="I421" s="5"/>
    </row>
    <row r="422" spans="2:9" x14ac:dyDescent="0.25">
      <c r="B422" s="5"/>
      <c r="C422" s="5"/>
      <c r="D422" s="5"/>
      <c r="E422" s="5"/>
      <c r="F422" s="5"/>
      <c r="G422" s="5"/>
      <c r="H422" s="5"/>
      <c r="I422" s="5"/>
    </row>
    <row r="423" spans="2:9" x14ac:dyDescent="0.25">
      <c r="B423" s="5"/>
      <c r="C423" s="5"/>
      <c r="D423" s="5"/>
      <c r="E423" s="5"/>
      <c r="F423" s="5"/>
      <c r="G423" s="5"/>
      <c r="H423" s="5"/>
      <c r="I423" s="5"/>
    </row>
    <row r="424" spans="2:9" x14ac:dyDescent="0.25">
      <c r="B424" s="5"/>
      <c r="C424" s="5"/>
      <c r="D424" s="5"/>
      <c r="E424" s="5"/>
      <c r="F424" s="5"/>
      <c r="G424" s="5"/>
      <c r="H424" s="5"/>
      <c r="I424" s="5"/>
    </row>
    <row r="425" spans="2:9" x14ac:dyDescent="0.25">
      <c r="B425" s="5"/>
      <c r="C425" s="5"/>
      <c r="D425" s="5"/>
      <c r="E425" s="5"/>
      <c r="F425" s="5"/>
      <c r="G425" s="5"/>
      <c r="H425" s="5"/>
      <c r="I425" s="5"/>
    </row>
    <row r="426" spans="2:9" x14ac:dyDescent="0.25">
      <c r="B426" s="5"/>
      <c r="C426" s="5"/>
      <c r="D426" s="5"/>
      <c r="E426" s="5"/>
      <c r="F426" s="5"/>
      <c r="G426" s="5"/>
      <c r="H426" s="5"/>
      <c r="I426" s="5"/>
    </row>
    <row r="427" spans="2:9" x14ac:dyDescent="0.25">
      <c r="B427" s="5"/>
      <c r="C427" s="5"/>
      <c r="D427" s="5"/>
      <c r="E427" s="5"/>
      <c r="F427" s="5"/>
      <c r="G427" s="5"/>
      <c r="H427" s="5"/>
      <c r="I427" s="5"/>
    </row>
    <row r="428" spans="2:9" x14ac:dyDescent="0.25">
      <c r="B428" s="5"/>
      <c r="C428" s="5"/>
      <c r="D428" s="5"/>
      <c r="E428" s="5"/>
      <c r="F428" s="5"/>
      <c r="G428" s="5"/>
      <c r="H428" s="5"/>
      <c r="I428" s="5"/>
    </row>
    <row r="429" spans="2:9" x14ac:dyDescent="0.25">
      <c r="B429" s="5"/>
      <c r="C429" s="5"/>
      <c r="D429" s="5"/>
      <c r="E429" s="5"/>
      <c r="F429" s="5"/>
      <c r="G429" s="5"/>
      <c r="H429" s="5"/>
      <c r="I429" s="5"/>
    </row>
    <row r="430" spans="2:9" x14ac:dyDescent="0.25">
      <c r="B430" s="5"/>
      <c r="C430" s="5"/>
      <c r="D430" s="5"/>
      <c r="E430" s="5"/>
      <c r="F430" s="5"/>
      <c r="G430" s="5"/>
      <c r="H430" s="5"/>
      <c r="I430" s="5"/>
    </row>
    <row r="431" spans="2:9" x14ac:dyDescent="0.25">
      <c r="B431" s="5"/>
      <c r="C431" s="5"/>
      <c r="D431" s="5"/>
      <c r="E431" s="5"/>
      <c r="F431" s="5"/>
      <c r="G431" s="5"/>
      <c r="H431" s="5"/>
      <c r="I431" s="5"/>
    </row>
    <row r="432" spans="2:9" x14ac:dyDescent="0.25">
      <c r="B432" s="5"/>
      <c r="C432" s="5"/>
      <c r="D432" s="5"/>
      <c r="E432" s="5"/>
      <c r="F432" s="5"/>
      <c r="G432" s="5"/>
      <c r="H432" s="5"/>
      <c r="I432" s="5"/>
    </row>
    <row r="433" spans="2:9" x14ac:dyDescent="0.25">
      <c r="B433" s="5"/>
      <c r="C433" s="5"/>
      <c r="D433" s="5"/>
      <c r="E433" s="5"/>
      <c r="F433" s="5"/>
      <c r="G433" s="5"/>
      <c r="H433" s="5"/>
      <c r="I433" s="5"/>
    </row>
    <row r="434" spans="2:9" x14ac:dyDescent="0.25">
      <c r="B434" s="5"/>
      <c r="C434" s="5"/>
      <c r="D434" s="5"/>
      <c r="E434" s="5"/>
      <c r="F434" s="5"/>
      <c r="G434" s="5"/>
      <c r="H434" s="5"/>
      <c r="I434" s="5"/>
    </row>
    <row r="435" spans="2:9" x14ac:dyDescent="0.25">
      <c r="B435" s="5"/>
      <c r="C435" s="5"/>
      <c r="D435" s="5"/>
      <c r="E435" s="5"/>
      <c r="F435" s="5"/>
      <c r="G435" s="5"/>
      <c r="H435" s="5"/>
      <c r="I435" s="5"/>
    </row>
    <row r="436" spans="2:9" x14ac:dyDescent="0.25">
      <c r="B436" s="5"/>
      <c r="C436" s="5"/>
      <c r="D436" s="5"/>
      <c r="E436" s="5"/>
      <c r="F436" s="5"/>
      <c r="G436" s="5"/>
      <c r="H436" s="5"/>
      <c r="I436" s="5"/>
    </row>
    <row r="437" spans="2:9" x14ac:dyDescent="0.25">
      <c r="B437" s="5"/>
      <c r="C437" s="5"/>
      <c r="D437" s="5"/>
      <c r="E437" s="5"/>
      <c r="F437" s="5"/>
      <c r="G437" s="5"/>
      <c r="H437" s="5"/>
      <c r="I437" s="5"/>
    </row>
    <row r="438" spans="2:9" x14ac:dyDescent="0.25">
      <c r="B438" s="5"/>
      <c r="C438" s="5"/>
      <c r="D438" s="5"/>
      <c r="E438" s="5"/>
      <c r="F438" s="5"/>
      <c r="G438" s="5"/>
      <c r="H438" s="5"/>
      <c r="I438" s="5"/>
    </row>
    <row r="439" spans="2:9" x14ac:dyDescent="0.25">
      <c r="B439" s="5"/>
      <c r="C439" s="5"/>
      <c r="D439" s="5"/>
      <c r="E439" s="5"/>
      <c r="F439" s="5"/>
      <c r="G439" s="5"/>
      <c r="H439" s="5"/>
      <c r="I439" s="5"/>
    </row>
    <row r="440" spans="2:9" x14ac:dyDescent="0.25">
      <c r="B440" s="5"/>
      <c r="C440" s="5"/>
      <c r="D440" s="5"/>
      <c r="E440" s="5"/>
      <c r="F440" s="5"/>
      <c r="G440" s="5"/>
      <c r="H440" s="5"/>
      <c r="I440" s="5"/>
    </row>
    <row r="441" spans="2:9" x14ac:dyDescent="0.25">
      <c r="B441" s="5"/>
      <c r="C441" s="5"/>
      <c r="D441" s="5"/>
      <c r="E441" s="5"/>
      <c r="F441" s="5"/>
      <c r="G441" s="5"/>
      <c r="H441" s="5"/>
      <c r="I441" s="5"/>
    </row>
    <row r="442" spans="2:9" x14ac:dyDescent="0.25">
      <c r="B442" s="5"/>
      <c r="C442" s="5"/>
      <c r="D442" s="5"/>
      <c r="E442" s="5"/>
      <c r="F442" s="5"/>
      <c r="G442" s="5"/>
      <c r="H442" s="5"/>
      <c r="I442" s="5"/>
    </row>
    <row r="443" spans="2:9" x14ac:dyDescent="0.25">
      <c r="B443" s="5"/>
      <c r="C443" s="5"/>
      <c r="D443" s="5"/>
      <c r="E443" s="5"/>
      <c r="F443" s="5"/>
      <c r="G443" s="5"/>
      <c r="H443" s="5"/>
      <c r="I443" s="5"/>
    </row>
    <row r="444" spans="2:9" x14ac:dyDescent="0.25">
      <c r="B444" s="5"/>
      <c r="C444" s="5"/>
      <c r="D444" s="5"/>
      <c r="E444" s="5"/>
      <c r="F444" s="5"/>
      <c r="G444" s="5"/>
      <c r="H444" s="5"/>
      <c r="I444" s="5"/>
    </row>
    <row r="445" spans="2:9" x14ac:dyDescent="0.25">
      <c r="B445" s="5"/>
      <c r="C445" s="5"/>
      <c r="D445" s="5"/>
      <c r="E445" s="5"/>
      <c r="F445" s="5"/>
      <c r="G445" s="5"/>
      <c r="H445" s="5"/>
      <c r="I445" s="5"/>
    </row>
    <row r="446" spans="2:9" x14ac:dyDescent="0.25">
      <c r="B446" s="5"/>
      <c r="C446" s="5"/>
      <c r="D446" s="5"/>
      <c r="E446" s="5"/>
      <c r="F446" s="5"/>
      <c r="G446" s="5"/>
      <c r="H446" s="5"/>
      <c r="I446" s="5"/>
    </row>
    <row r="447" spans="2:9" x14ac:dyDescent="0.25">
      <c r="B447" s="5"/>
      <c r="C447" s="5"/>
      <c r="D447" s="5"/>
      <c r="E447" s="5"/>
      <c r="F447" s="5"/>
      <c r="G447" s="5"/>
      <c r="H447" s="5"/>
      <c r="I447" s="5"/>
    </row>
    <row r="448" spans="2:9" x14ac:dyDescent="0.25">
      <c r="B448" s="5"/>
      <c r="C448" s="5"/>
      <c r="D448" s="5"/>
      <c r="E448" s="5"/>
      <c r="F448" s="5"/>
      <c r="G448" s="5"/>
      <c r="H448" s="5"/>
      <c r="I448" s="5"/>
    </row>
    <row r="449" spans="2:9" x14ac:dyDescent="0.25">
      <c r="B449" s="5"/>
      <c r="C449" s="5"/>
      <c r="D449" s="5"/>
      <c r="E449" s="5"/>
      <c r="F449" s="5"/>
      <c r="G449" s="5"/>
      <c r="H449" s="5"/>
      <c r="I449" s="5"/>
    </row>
    <row r="450" spans="2:9" x14ac:dyDescent="0.25">
      <c r="B450" s="5"/>
      <c r="C450" s="5"/>
      <c r="D450" s="5"/>
      <c r="E450" s="5"/>
      <c r="F450" s="5"/>
      <c r="G450" s="5"/>
      <c r="H450" s="5"/>
      <c r="I450" s="5"/>
    </row>
    <row r="451" spans="2:9" x14ac:dyDescent="0.25">
      <c r="B451" s="5"/>
      <c r="C451" s="5"/>
      <c r="D451" s="5"/>
      <c r="E451" s="5"/>
      <c r="F451" s="5"/>
      <c r="G451" s="5"/>
      <c r="H451" s="5"/>
      <c r="I451" s="5"/>
    </row>
    <row r="452" spans="2:9" x14ac:dyDescent="0.25">
      <c r="B452" s="5"/>
      <c r="C452" s="5"/>
      <c r="D452" s="5"/>
      <c r="E452" s="5"/>
      <c r="F452" s="5"/>
      <c r="G452" s="5"/>
      <c r="H452" s="5"/>
      <c r="I452" s="5"/>
    </row>
    <row r="453" spans="2:9" x14ac:dyDescent="0.25">
      <c r="B453" s="5"/>
      <c r="C453" s="5"/>
      <c r="D453" s="5"/>
      <c r="E453" s="5"/>
      <c r="F453" s="5"/>
      <c r="G453" s="5"/>
      <c r="H453" s="5"/>
      <c r="I453" s="5"/>
    </row>
    <row r="454" spans="2:9" x14ac:dyDescent="0.25">
      <c r="B454" s="5"/>
      <c r="C454" s="5"/>
      <c r="D454" s="5"/>
      <c r="E454" s="5"/>
      <c r="F454" s="5"/>
      <c r="G454" s="5"/>
      <c r="H454" s="5"/>
      <c r="I454" s="5"/>
    </row>
    <row r="455" spans="2:9" x14ac:dyDescent="0.25">
      <c r="B455" s="5"/>
      <c r="C455" s="5"/>
      <c r="D455" s="5"/>
      <c r="E455" s="5"/>
      <c r="F455" s="5"/>
      <c r="G455" s="5"/>
      <c r="H455" s="5"/>
      <c r="I455" s="5"/>
    </row>
    <row r="456" spans="2:9" x14ac:dyDescent="0.25">
      <c r="B456" s="5"/>
      <c r="C456" s="5"/>
      <c r="D456" s="5"/>
      <c r="E456" s="5"/>
      <c r="F456" s="5"/>
      <c r="G456" s="5"/>
      <c r="H456" s="5"/>
      <c r="I456" s="5"/>
    </row>
    <row r="457" spans="2:9" x14ac:dyDescent="0.25">
      <c r="B457" s="5"/>
      <c r="C457" s="5"/>
      <c r="D457" s="5"/>
      <c r="E457" s="5"/>
      <c r="F457" s="5"/>
      <c r="G457" s="5"/>
      <c r="H457" s="5"/>
      <c r="I457" s="5"/>
    </row>
    <row r="458" spans="2:9" x14ac:dyDescent="0.25">
      <c r="B458" s="5"/>
      <c r="C458" s="5"/>
      <c r="D458" s="5"/>
      <c r="E458" s="5"/>
      <c r="F458" s="5"/>
      <c r="G458" s="5"/>
      <c r="H458" s="5"/>
      <c r="I458" s="5"/>
    </row>
    <row r="459" spans="2:9" x14ac:dyDescent="0.25">
      <c r="B459" s="5"/>
      <c r="C459" s="5"/>
      <c r="D459" s="5"/>
      <c r="E459" s="5"/>
      <c r="F459" s="5"/>
      <c r="G459" s="5"/>
      <c r="H459" s="5"/>
      <c r="I459" s="5"/>
    </row>
    <row r="460" spans="2:9" x14ac:dyDescent="0.25">
      <c r="B460" s="5"/>
      <c r="C460" s="5"/>
      <c r="D460" s="5"/>
      <c r="E460" s="5"/>
      <c r="F460" s="5"/>
      <c r="G460" s="5"/>
      <c r="H460" s="5"/>
      <c r="I460" s="5"/>
    </row>
    <row r="461" spans="2:9" x14ac:dyDescent="0.25">
      <c r="B461" s="5"/>
      <c r="C461" s="5"/>
      <c r="D461" s="5"/>
      <c r="E461" s="5"/>
      <c r="F461" s="5"/>
      <c r="G461" s="5"/>
      <c r="H461" s="5"/>
      <c r="I461" s="5"/>
    </row>
    <row r="462" spans="2:9" x14ac:dyDescent="0.25">
      <c r="B462" s="5"/>
      <c r="C462" s="5"/>
      <c r="D462" s="5"/>
      <c r="E462" s="5"/>
      <c r="F462" s="5"/>
      <c r="G462" s="5"/>
      <c r="H462" s="5"/>
      <c r="I462" s="5"/>
    </row>
    <row r="463" spans="2:9" x14ac:dyDescent="0.25">
      <c r="B463" s="5"/>
      <c r="C463" s="5"/>
      <c r="D463" s="5"/>
      <c r="E463" s="5"/>
      <c r="F463" s="5"/>
      <c r="G463" s="5"/>
      <c r="H463" s="5"/>
      <c r="I463" s="5"/>
    </row>
    <row r="464" spans="2:9" x14ac:dyDescent="0.25">
      <c r="B464" s="5"/>
      <c r="C464" s="5"/>
      <c r="D464" s="5"/>
      <c r="E464" s="5"/>
      <c r="F464" s="5"/>
      <c r="G464" s="5"/>
      <c r="H464" s="5"/>
      <c r="I464" s="5"/>
    </row>
    <row r="465" spans="2:9" x14ac:dyDescent="0.25">
      <c r="B465" s="5"/>
      <c r="C465" s="5"/>
      <c r="D465" s="5"/>
      <c r="E465" s="5"/>
      <c r="F465" s="5"/>
      <c r="G465" s="5"/>
      <c r="H465" s="5"/>
      <c r="I465" s="5"/>
    </row>
    <row r="466" spans="2:9" x14ac:dyDescent="0.25">
      <c r="B466" s="5"/>
      <c r="C466" s="5"/>
      <c r="D466" s="5"/>
      <c r="E466" s="5"/>
      <c r="F466" s="5"/>
      <c r="G466" s="5"/>
      <c r="H466" s="5"/>
      <c r="I466" s="5"/>
    </row>
    <row r="467" spans="2:9" x14ac:dyDescent="0.25">
      <c r="B467" s="5"/>
      <c r="C467" s="5"/>
      <c r="D467" s="5"/>
      <c r="E467" s="5"/>
      <c r="F467" s="5"/>
      <c r="G467" s="5"/>
      <c r="H467" s="5"/>
      <c r="I467" s="5"/>
    </row>
    <row r="468" spans="2:9" x14ac:dyDescent="0.25">
      <c r="B468" s="5"/>
      <c r="C468" s="5"/>
      <c r="D468" s="5"/>
      <c r="E468" s="5"/>
      <c r="F468" s="5"/>
      <c r="G468" s="5"/>
      <c r="H468" s="5"/>
      <c r="I468" s="5"/>
    </row>
    <row r="469" spans="2:9" x14ac:dyDescent="0.25">
      <c r="B469" s="5"/>
      <c r="C469" s="5"/>
      <c r="D469" s="5"/>
      <c r="E469" s="5"/>
      <c r="F469" s="5"/>
      <c r="G469" s="5"/>
      <c r="H469" s="5"/>
      <c r="I469" s="5"/>
    </row>
    <row r="470" spans="2:9" x14ac:dyDescent="0.25">
      <c r="B470" s="5"/>
      <c r="C470" s="5"/>
      <c r="D470" s="5"/>
      <c r="E470" s="5"/>
      <c r="F470" s="5"/>
      <c r="G470" s="5"/>
      <c r="H470" s="5"/>
      <c r="I470" s="5"/>
    </row>
    <row r="471" spans="2:9" x14ac:dyDescent="0.25">
      <c r="B471" s="5"/>
      <c r="C471" s="5"/>
      <c r="D471" s="5"/>
      <c r="E471" s="5"/>
      <c r="F471" s="5"/>
      <c r="G471" s="5"/>
      <c r="H471" s="5"/>
      <c r="I471" s="5"/>
    </row>
    <row r="472" spans="2:9" x14ac:dyDescent="0.25">
      <c r="B472" s="5"/>
      <c r="C472" s="5"/>
      <c r="D472" s="5"/>
      <c r="E472" s="5"/>
      <c r="F472" s="5"/>
      <c r="G472" s="5"/>
      <c r="H472" s="5"/>
      <c r="I472" s="5"/>
    </row>
    <row r="473" spans="2:9" x14ac:dyDescent="0.25">
      <c r="B473" s="5"/>
      <c r="C473" s="5"/>
      <c r="D473" s="5"/>
      <c r="E473" s="5"/>
      <c r="F473" s="5"/>
      <c r="G473" s="5"/>
      <c r="H473" s="5"/>
      <c r="I473" s="5"/>
    </row>
    <row r="474" spans="2:9" x14ac:dyDescent="0.25">
      <c r="B474" s="5"/>
      <c r="C474" s="5"/>
      <c r="D474" s="5"/>
      <c r="E474" s="5"/>
      <c r="F474" s="5"/>
      <c r="G474" s="5"/>
      <c r="H474" s="5"/>
      <c r="I474" s="5"/>
    </row>
    <row r="475" spans="2:9" x14ac:dyDescent="0.25">
      <c r="B475" s="5"/>
      <c r="C475" s="5"/>
      <c r="D475" s="5"/>
      <c r="E475" s="5"/>
      <c r="F475" s="5"/>
      <c r="G475" s="5"/>
      <c r="H475" s="5"/>
      <c r="I475" s="5"/>
    </row>
    <row r="476" spans="2:9" x14ac:dyDescent="0.25">
      <c r="B476" s="5"/>
      <c r="C476" s="5"/>
      <c r="D476" s="5"/>
      <c r="E476" s="5"/>
      <c r="F476" s="5"/>
      <c r="G476" s="5"/>
      <c r="H476" s="5"/>
      <c r="I476" s="5"/>
    </row>
    <row r="477" spans="2:9" x14ac:dyDescent="0.25">
      <c r="B477" s="5"/>
      <c r="C477" s="5"/>
      <c r="D477" s="5"/>
      <c r="E477" s="5"/>
      <c r="F477" s="5"/>
      <c r="G477" s="5"/>
      <c r="H477" s="5"/>
      <c r="I477" s="5"/>
    </row>
    <row r="478" spans="2:9" x14ac:dyDescent="0.25">
      <c r="B478" s="5"/>
      <c r="C478" s="5"/>
      <c r="D478" s="5"/>
      <c r="E478" s="5"/>
      <c r="F478" s="5"/>
      <c r="G478" s="5"/>
      <c r="H478" s="5"/>
      <c r="I478" s="5"/>
    </row>
    <row r="479" spans="2:9" x14ac:dyDescent="0.25">
      <c r="B479" s="5"/>
      <c r="C479" s="5"/>
      <c r="D479" s="5"/>
      <c r="E479" s="5"/>
      <c r="F479" s="5"/>
      <c r="G479" s="5"/>
      <c r="H479" s="5"/>
      <c r="I479" s="5"/>
    </row>
    <row r="480" spans="2:9" x14ac:dyDescent="0.25">
      <c r="B480" s="5"/>
      <c r="C480" s="5"/>
      <c r="D480" s="5"/>
      <c r="E480" s="5"/>
      <c r="F480" s="5"/>
      <c r="G480" s="5"/>
      <c r="H480" s="5"/>
      <c r="I480" s="5"/>
    </row>
    <row r="481" spans="2:9" x14ac:dyDescent="0.25">
      <c r="B481" s="5"/>
      <c r="C481" s="5"/>
      <c r="D481" s="5"/>
      <c r="E481" s="5"/>
      <c r="F481" s="5"/>
      <c r="G481" s="5"/>
      <c r="H481" s="5"/>
      <c r="I481" s="5"/>
    </row>
    <row r="482" spans="2:9" x14ac:dyDescent="0.25">
      <c r="B482" s="5"/>
      <c r="C482" s="5"/>
      <c r="D482" s="5"/>
      <c r="E482" s="5"/>
      <c r="F482" s="5"/>
      <c r="G482" s="5"/>
      <c r="H482" s="5"/>
      <c r="I482" s="5"/>
    </row>
    <row r="483" spans="2:9" x14ac:dyDescent="0.25">
      <c r="B483" s="5"/>
      <c r="C483" s="5"/>
      <c r="D483" s="5"/>
      <c r="E483" s="5"/>
      <c r="F483" s="5"/>
      <c r="G483" s="5"/>
      <c r="H483" s="5"/>
      <c r="I483" s="5"/>
    </row>
    <row r="484" spans="2:9" x14ac:dyDescent="0.25">
      <c r="B484" s="5"/>
      <c r="C484" s="5"/>
      <c r="D484" s="5"/>
      <c r="E484" s="5"/>
      <c r="F484" s="5"/>
      <c r="G484" s="5"/>
      <c r="H484" s="5"/>
      <c r="I484" s="5"/>
    </row>
    <row r="485" spans="2:9" x14ac:dyDescent="0.25">
      <c r="B485" s="5"/>
      <c r="C485" s="5"/>
      <c r="D485" s="5"/>
      <c r="E485" s="5"/>
      <c r="F485" s="5"/>
      <c r="G485" s="5"/>
      <c r="H485" s="5"/>
      <c r="I485" s="5"/>
    </row>
    <row r="486" spans="2:9" x14ac:dyDescent="0.25">
      <c r="B486" s="5"/>
      <c r="C486" s="5"/>
      <c r="D486" s="5"/>
      <c r="E486" s="5"/>
      <c r="F486" s="5"/>
      <c r="G486" s="5"/>
      <c r="H486" s="5"/>
      <c r="I486" s="5"/>
    </row>
    <row r="487" spans="2:9" x14ac:dyDescent="0.25">
      <c r="B487" s="5"/>
      <c r="C487" s="5"/>
      <c r="D487" s="5"/>
      <c r="E487" s="5"/>
      <c r="F487" s="5"/>
      <c r="G487" s="5"/>
      <c r="H487" s="5"/>
      <c r="I487" s="5"/>
    </row>
    <row r="488" spans="2:9" x14ac:dyDescent="0.25">
      <c r="B488" s="5"/>
      <c r="C488" s="5"/>
      <c r="D488" s="5"/>
      <c r="E488" s="5"/>
      <c r="F488" s="5"/>
      <c r="G488" s="5"/>
      <c r="H488" s="5"/>
      <c r="I488" s="5"/>
    </row>
    <row r="489" spans="2:9" x14ac:dyDescent="0.25">
      <c r="B489" s="5"/>
      <c r="C489" s="5"/>
      <c r="D489" s="5"/>
      <c r="E489" s="5"/>
      <c r="F489" s="5"/>
      <c r="G489" s="5"/>
      <c r="H489" s="5"/>
      <c r="I489" s="5"/>
    </row>
    <row r="490" spans="2:9" x14ac:dyDescent="0.25">
      <c r="B490" s="5"/>
      <c r="C490" s="5"/>
      <c r="D490" s="5"/>
      <c r="E490" s="5"/>
      <c r="F490" s="5"/>
      <c r="G490" s="5"/>
      <c r="H490" s="5"/>
      <c r="I490" s="5"/>
    </row>
    <row r="491" spans="2:9" x14ac:dyDescent="0.25">
      <c r="B491" s="5"/>
      <c r="C491" s="5"/>
      <c r="D491" s="5"/>
      <c r="E491" s="5"/>
      <c r="F491" s="5"/>
      <c r="G491" s="5"/>
      <c r="H491" s="5"/>
      <c r="I491" s="5"/>
    </row>
    <row r="492" spans="2:9" x14ac:dyDescent="0.25">
      <c r="B492" s="5"/>
      <c r="C492" s="5"/>
      <c r="D492" s="5"/>
      <c r="E492" s="5"/>
      <c r="F492" s="5"/>
      <c r="G492" s="5"/>
      <c r="H492" s="5"/>
      <c r="I492" s="5"/>
    </row>
    <row r="493" spans="2:9" x14ac:dyDescent="0.25">
      <c r="B493" s="5"/>
      <c r="C493" s="5"/>
      <c r="D493" s="5"/>
      <c r="E493" s="5"/>
      <c r="F493" s="5"/>
      <c r="G493" s="5"/>
      <c r="H493" s="5"/>
      <c r="I493" s="5"/>
    </row>
    <row r="494" spans="2:9" x14ac:dyDescent="0.25">
      <c r="B494" s="5"/>
      <c r="C494" s="5"/>
      <c r="D494" s="5"/>
      <c r="E494" s="5"/>
      <c r="F494" s="5"/>
      <c r="G494" s="5"/>
      <c r="H494" s="5"/>
      <c r="I494" s="5"/>
    </row>
    <row r="495" spans="2:9" x14ac:dyDescent="0.25">
      <c r="B495" s="5"/>
      <c r="C495" s="5"/>
      <c r="D495" s="5"/>
      <c r="E495" s="5"/>
      <c r="F495" s="5"/>
      <c r="G495" s="5"/>
      <c r="H495" s="5"/>
      <c r="I495" s="5"/>
    </row>
    <row r="496" spans="2:9" x14ac:dyDescent="0.25">
      <c r="B496" s="5"/>
      <c r="C496" s="5"/>
      <c r="D496" s="5"/>
      <c r="E496" s="5"/>
      <c r="F496" s="5"/>
      <c r="G496" s="5"/>
      <c r="H496" s="5"/>
      <c r="I496" s="5"/>
    </row>
    <row r="497" spans="2:9" x14ac:dyDescent="0.25">
      <c r="B497" s="5"/>
      <c r="C497" s="5"/>
      <c r="D497" s="5"/>
      <c r="E497" s="5"/>
      <c r="F497" s="5"/>
      <c r="G497" s="5"/>
      <c r="H497" s="5"/>
      <c r="I497" s="5"/>
    </row>
    <row r="498" spans="2:9" x14ac:dyDescent="0.25">
      <c r="B498" s="5"/>
      <c r="C498" s="5"/>
      <c r="D498" s="5"/>
      <c r="E498" s="5"/>
      <c r="F498" s="5"/>
      <c r="G498" s="5"/>
      <c r="H498" s="5"/>
      <c r="I498" s="5"/>
    </row>
    <row r="499" spans="2:9" x14ac:dyDescent="0.25">
      <c r="B499" s="5"/>
      <c r="C499" s="5"/>
      <c r="D499" s="5"/>
      <c r="E499" s="5"/>
      <c r="F499" s="5"/>
      <c r="G499" s="5"/>
      <c r="H499" s="5"/>
      <c r="I499" s="5"/>
    </row>
    <row r="500" spans="2:9" x14ac:dyDescent="0.25">
      <c r="B500" s="5"/>
      <c r="C500" s="5"/>
      <c r="D500" s="5"/>
      <c r="E500" s="5"/>
      <c r="F500" s="5"/>
      <c r="G500" s="5"/>
      <c r="H500" s="5"/>
      <c r="I500" s="5"/>
    </row>
    <row r="501" spans="2:9" x14ac:dyDescent="0.25">
      <c r="B501" s="5"/>
      <c r="C501" s="5"/>
      <c r="D501" s="5"/>
      <c r="E501" s="5"/>
      <c r="F501" s="5"/>
      <c r="G501" s="5"/>
      <c r="H501" s="5"/>
      <c r="I501" s="5"/>
    </row>
    <row r="502" spans="2:9" x14ac:dyDescent="0.25">
      <c r="B502" s="5"/>
      <c r="C502" s="5"/>
      <c r="D502" s="5"/>
      <c r="E502" s="5"/>
      <c r="F502" s="5"/>
      <c r="G502" s="5"/>
      <c r="H502" s="5"/>
      <c r="I502" s="5"/>
    </row>
    <row r="503" spans="2:9" x14ac:dyDescent="0.25">
      <c r="B503" s="5"/>
      <c r="C503" s="5"/>
      <c r="D503" s="5"/>
      <c r="E503" s="5"/>
      <c r="F503" s="5"/>
      <c r="G503" s="5"/>
      <c r="H503" s="5"/>
      <c r="I503" s="5"/>
    </row>
    <row r="504" spans="2:9" x14ac:dyDescent="0.25">
      <c r="B504" s="5"/>
      <c r="C504" s="5"/>
      <c r="D504" s="5"/>
      <c r="E504" s="5"/>
      <c r="F504" s="5"/>
      <c r="G504" s="5"/>
      <c r="H504" s="5"/>
      <c r="I504" s="5"/>
    </row>
    <row r="505" spans="2:9" x14ac:dyDescent="0.25">
      <c r="B505" s="5"/>
      <c r="C505" s="5"/>
      <c r="D505" s="5"/>
      <c r="E505" s="5"/>
      <c r="F505" s="5"/>
      <c r="G505" s="5"/>
      <c r="H505" s="5"/>
      <c r="I505" s="5"/>
    </row>
    <row r="506" spans="2:9" x14ac:dyDescent="0.25">
      <c r="B506" s="5"/>
      <c r="C506" s="5"/>
      <c r="D506" s="5"/>
      <c r="E506" s="5"/>
      <c r="F506" s="5"/>
      <c r="G506" s="5"/>
      <c r="H506" s="5"/>
      <c r="I506" s="5"/>
    </row>
    <row r="507" spans="2:9" x14ac:dyDescent="0.25">
      <c r="B507" s="5"/>
      <c r="C507" s="5"/>
      <c r="D507" s="5"/>
      <c r="E507" s="5"/>
      <c r="F507" s="5"/>
      <c r="G507" s="5"/>
      <c r="H507" s="5"/>
      <c r="I507" s="5"/>
    </row>
    <row r="508" spans="2:9" x14ac:dyDescent="0.25">
      <c r="B508" s="5"/>
      <c r="C508" s="5"/>
      <c r="D508" s="5"/>
      <c r="E508" s="5"/>
      <c r="F508" s="5"/>
      <c r="G508" s="5"/>
      <c r="H508" s="5"/>
      <c r="I508" s="5"/>
    </row>
    <row r="509" spans="2:9" x14ac:dyDescent="0.25">
      <c r="B509" s="5"/>
      <c r="C509" s="5"/>
      <c r="D509" s="5"/>
      <c r="E509" s="5"/>
      <c r="F509" s="5"/>
      <c r="G509" s="5"/>
      <c r="H509" s="5"/>
      <c r="I509" s="5"/>
    </row>
    <row r="510" spans="2:9" x14ac:dyDescent="0.25">
      <c r="B510" s="5"/>
      <c r="C510" s="5"/>
      <c r="D510" s="5"/>
      <c r="E510" s="5"/>
      <c r="F510" s="5"/>
      <c r="G510" s="5"/>
      <c r="H510" s="5"/>
      <c r="I510" s="5"/>
    </row>
    <row r="511" spans="2:9" x14ac:dyDescent="0.25">
      <c r="B511" s="5"/>
      <c r="C511" s="5"/>
      <c r="D511" s="5"/>
      <c r="E511" s="5"/>
      <c r="F511" s="5"/>
      <c r="G511" s="5"/>
      <c r="H511" s="5"/>
      <c r="I511" s="5"/>
    </row>
    <row r="512" spans="2:9" x14ac:dyDescent="0.25">
      <c r="B512" s="5"/>
      <c r="C512" s="5"/>
      <c r="D512" s="5"/>
      <c r="E512" s="5"/>
      <c r="F512" s="5"/>
      <c r="G512" s="5"/>
      <c r="H512" s="5"/>
      <c r="I512" s="5"/>
    </row>
    <row r="513" spans="2:9" x14ac:dyDescent="0.25">
      <c r="B513" s="5"/>
      <c r="C513" s="5"/>
      <c r="D513" s="5"/>
      <c r="E513" s="5"/>
      <c r="F513" s="5"/>
      <c r="G513" s="5"/>
      <c r="H513" s="5"/>
      <c r="I513" s="5"/>
    </row>
    <row r="514" spans="2:9" x14ac:dyDescent="0.25">
      <c r="B514" s="5"/>
      <c r="C514" s="5"/>
      <c r="D514" s="5"/>
      <c r="E514" s="5"/>
      <c r="F514" s="5"/>
      <c r="G514" s="5"/>
      <c r="H514" s="5"/>
      <c r="I514" s="5"/>
    </row>
    <row r="515" spans="2:9" x14ac:dyDescent="0.25">
      <c r="B515" s="5"/>
      <c r="C515" s="5"/>
      <c r="D515" s="5"/>
      <c r="E515" s="5"/>
      <c r="F515" s="5"/>
      <c r="G515" s="5"/>
      <c r="H515" s="5"/>
      <c r="I515" s="5"/>
    </row>
    <row r="516" spans="2:9" x14ac:dyDescent="0.25">
      <c r="B516" s="5"/>
      <c r="C516" s="5"/>
      <c r="D516" s="5"/>
      <c r="E516" s="5"/>
      <c r="F516" s="5"/>
      <c r="G516" s="5"/>
      <c r="H516" s="5"/>
      <c r="I516" s="5"/>
    </row>
    <row r="517" spans="2:9" x14ac:dyDescent="0.25">
      <c r="B517" s="5"/>
      <c r="C517" s="5"/>
      <c r="D517" s="5"/>
      <c r="E517" s="5"/>
      <c r="F517" s="5"/>
      <c r="G517" s="5"/>
      <c r="H517" s="5"/>
      <c r="I517" s="5"/>
    </row>
    <row r="518" spans="2:9" x14ac:dyDescent="0.25">
      <c r="B518" s="5"/>
      <c r="C518" s="5"/>
      <c r="D518" s="5"/>
      <c r="E518" s="5"/>
      <c r="F518" s="5"/>
      <c r="G518" s="5"/>
      <c r="H518" s="5"/>
      <c r="I518" s="5"/>
    </row>
    <row r="519" spans="2:9" x14ac:dyDescent="0.25">
      <c r="B519" s="5"/>
      <c r="C519" s="5"/>
      <c r="D519" s="5"/>
      <c r="E519" s="5"/>
      <c r="F519" s="5"/>
      <c r="G519" s="5"/>
      <c r="H519" s="5"/>
      <c r="I519" s="5"/>
    </row>
    <row r="520" spans="2:9" x14ac:dyDescent="0.25">
      <c r="B520" s="5"/>
      <c r="C520" s="5"/>
      <c r="D520" s="5"/>
      <c r="E520" s="5"/>
      <c r="F520" s="5"/>
      <c r="G520" s="5"/>
      <c r="H520" s="5"/>
      <c r="I520" s="5"/>
    </row>
    <row r="521" spans="2:9" x14ac:dyDescent="0.25">
      <c r="B521" s="5"/>
      <c r="C521" s="5"/>
      <c r="D521" s="5"/>
      <c r="E521" s="5"/>
      <c r="F521" s="5"/>
      <c r="G521" s="5"/>
      <c r="H521" s="5"/>
      <c r="I521" s="5"/>
    </row>
    <row r="522" spans="2:9" x14ac:dyDescent="0.25">
      <c r="B522" s="5"/>
      <c r="C522" s="5"/>
      <c r="D522" s="5"/>
      <c r="E522" s="5"/>
      <c r="F522" s="5"/>
      <c r="G522" s="5"/>
      <c r="H522" s="5"/>
      <c r="I522" s="5"/>
    </row>
    <row r="523" spans="2:9" x14ac:dyDescent="0.25">
      <c r="B523" s="5"/>
      <c r="C523" s="5"/>
      <c r="D523" s="5"/>
      <c r="E523" s="5"/>
      <c r="F523" s="5"/>
      <c r="G523" s="5"/>
      <c r="H523" s="5"/>
      <c r="I523" s="5"/>
    </row>
    <row r="524" spans="2:9" x14ac:dyDescent="0.25">
      <c r="B524" s="5"/>
      <c r="C524" s="5"/>
      <c r="D524" s="5"/>
      <c r="E524" s="5"/>
      <c r="F524" s="5"/>
      <c r="G524" s="5"/>
      <c r="H524" s="5"/>
      <c r="I524" s="5"/>
    </row>
    <row r="525" spans="2:9" x14ac:dyDescent="0.25">
      <c r="B525" s="5"/>
      <c r="C525" s="5"/>
      <c r="D525" s="5"/>
      <c r="E525" s="5"/>
      <c r="F525" s="5"/>
      <c r="G525" s="5"/>
      <c r="H525" s="5"/>
      <c r="I525" s="5"/>
    </row>
    <row r="526" spans="2:9" x14ac:dyDescent="0.25">
      <c r="B526" s="5"/>
      <c r="C526" s="5"/>
      <c r="D526" s="5"/>
      <c r="E526" s="5"/>
      <c r="F526" s="5"/>
      <c r="G526" s="5"/>
      <c r="H526" s="5"/>
      <c r="I526" s="5"/>
    </row>
    <row r="527" spans="2:9" x14ac:dyDescent="0.25">
      <c r="B527" s="5"/>
      <c r="C527" s="5"/>
      <c r="D527" s="5"/>
      <c r="E527" s="5"/>
      <c r="F527" s="5"/>
      <c r="G527" s="5"/>
      <c r="H527" s="5"/>
      <c r="I527" s="5"/>
    </row>
    <row r="528" spans="2:9" x14ac:dyDescent="0.25">
      <c r="B528" s="5"/>
      <c r="C528" s="5"/>
      <c r="D528" s="5"/>
      <c r="E528" s="5"/>
      <c r="F528" s="5"/>
      <c r="G528" s="5"/>
      <c r="H528" s="5"/>
      <c r="I528" s="5"/>
    </row>
    <row r="529" spans="2:9" x14ac:dyDescent="0.25">
      <c r="B529" s="5"/>
      <c r="C529" s="5"/>
      <c r="D529" s="5"/>
      <c r="E529" s="5"/>
      <c r="F529" s="5"/>
      <c r="G529" s="5"/>
      <c r="H529" s="5"/>
      <c r="I529" s="5"/>
    </row>
    <row r="530" spans="2:9" x14ac:dyDescent="0.25">
      <c r="B530" s="5"/>
      <c r="C530" s="5"/>
      <c r="D530" s="5"/>
      <c r="E530" s="5"/>
      <c r="F530" s="5"/>
      <c r="G530" s="5"/>
      <c r="H530" s="5"/>
      <c r="I530" s="5"/>
    </row>
    <row r="531" spans="2:9" x14ac:dyDescent="0.25">
      <c r="B531" s="5"/>
      <c r="C531" s="5"/>
      <c r="D531" s="5"/>
      <c r="E531" s="5"/>
      <c r="F531" s="5"/>
      <c r="G531" s="5"/>
      <c r="H531" s="5"/>
      <c r="I531" s="5"/>
    </row>
    <row r="532" spans="2:9" x14ac:dyDescent="0.25">
      <c r="B532" s="5"/>
      <c r="C532" s="5"/>
      <c r="D532" s="5"/>
      <c r="E532" s="5"/>
      <c r="F532" s="5"/>
      <c r="G532" s="5"/>
      <c r="H532" s="5"/>
      <c r="I532" s="5"/>
    </row>
    <row r="533" spans="2:9" x14ac:dyDescent="0.25">
      <c r="B533" s="5"/>
      <c r="C533" s="5"/>
      <c r="D533" s="5"/>
      <c r="E533" s="5"/>
      <c r="F533" s="5"/>
      <c r="G533" s="5"/>
      <c r="H533" s="5"/>
      <c r="I533" s="5"/>
    </row>
    <row r="534" spans="2:9" x14ac:dyDescent="0.25">
      <c r="B534" s="5"/>
      <c r="C534" s="5"/>
      <c r="D534" s="5"/>
      <c r="E534" s="5"/>
      <c r="F534" s="5"/>
      <c r="G534" s="5"/>
      <c r="H534" s="5"/>
      <c r="I534" s="5"/>
    </row>
    <row r="535" spans="2:9" x14ac:dyDescent="0.25">
      <c r="B535" s="5"/>
      <c r="C535" s="5"/>
      <c r="D535" s="5"/>
      <c r="E535" s="5"/>
      <c r="F535" s="5"/>
      <c r="G535" s="5"/>
      <c r="H535" s="5"/>
      <c r="I535" s="5"/>
    </row>
    <row r="536" spans="2:9" x14ac:dyDescent="0.25">
      <c r="B536" s="5"/>
      <c r="C536" s="5"/>
      <c r="D536" s="5"/>
      <c r="E536" s="5"/>
      <c r="F536" s="5"/>
      <c r="G536" s="5"/>
      <c r="H536" s="5"/>
      <c r="I536" s="5"/>
    </row>
    <row r="537" spans="2:9" x14ac:dyDescent="0.25">
      <c r="B537" s="5"/>
      <c r="C537" s="5"/>
      <c r="D537" s="5"/>
      <c r="E537" s="5"/>
      <c r="F537" s="5"/>
      <c r="G537" s="5"/>
      <c r="H537" s="5"/>
      <c r="I537" s="5"/>
    </row>
    <row r="538" spans="2:9" x14ac:dyDescent="0.25">
      <c r="B538" s="5"/>
      <c r="C538" s="5"/>
      <c r="D538" s="5"/>
      <c r="E538" s="5"/>
      <c r="F538" s="5"/>
      <c r="G538" s="5"/>
      <c r="H538" s="5"/>
      <c r="I538" s="5"/>
    </row>
    <row r="539" spans="2:9" x14ac:dyDescent="0.25">
      <c r="B539" s="5"/>
      <c r="C539" s="5"/>
      <c r="D539" s="5"/>
      <c r="E539" s="5"/>
      <c r="F539" s="5"/>
      <c r="G539" s="5"/>
      <c r="H539" s="5"/>
      <c r="I539" s="5"/>
    </row>
    <row r="540" spans="2:9" x14ac:dyDescent="0.25">
      <c r="B540" s="5"/>
      <c r="C540" s="5"/>
      <c r="D540" s="5"/>
      <c r="E540" s="5"/>
      <c r="F540" s="5"/>
      <c r="G540" s="5"/>
      <c r="H540" s="5"/>
      <c r="I540" s="5"/>
    </row>
    <row r="541" spans="2:9" x14ac:dyDescent="0.25">
      <c r="B541" s="5"/>
      <c r="C541" s="5"/>
      <c r="D541" s="5"/>
      <c r="E541" s="5"/>
      <c r="F541" s="5"/>
      <c r="G541" s="5"/>
      <c r="H541" s="5"/>
      <c r="I541" s="5"/>
    </row>
    <row r="542" spans="2:9" x14ac:dyDescent="0.25">
      <c r="B542" s="5"/>
      <c r="C542" s="5"/>
      <c r="D542" s="5"/>
      <c r="E542" s="5"/>
      <c r="F542" s="5"/>
      <c r="G542" s="5"/>
      <c r="H542" s="5"/>
      <c r="I542" s="5"/>
    </row>
    <row r="543" spans="2:9" x14ac:dyDescent="0.25">
      <c r="B543" s="5"/>
      <c r="C543" s="5"/>
      <c r="D543" s="5"/>
      <c r="E543" s="5"/>
      <c r="F543" s="5"/>
      <c r="G543" s="5"/>
      <c r="H543" s="5"/>
      <c r="I543" s="5"/>
    </row>
    <row r="544" spans="2:9" x14ac:dyDescent="0.25">
      <c r="B544" s="5"/>
      <c r="C544" s="5"/>
      <c r="D544" s="5"/>
      <c r="E544" s="5"/>
      <c r="F544" s="5"/>
      <c r="G544" s="5"/>
      <c r="H544" s="5"/>
      <c r="I544" s="5"/>
    </row>
    <row r="545" spans="2:9" x14ac:dyDescent="0.25">
      <c r="B545" s="5"/>
      <c r="C545" s="5"/>
      <c r="D545" s="5"/>
      <c r="E545" s="5"/>
      <c r="F545" s="5"/>
      <c r="G545" s="5"/>
      <c r="H545" s="5"/>
      <c r="I545" s="5"/>
    </row>
    <row r="546" spans="2:9" x14ac:dyDescent="0.25">
      <c r="B546" s="5"/>
      <c r="C546" s="5"/>
      <c r="D546" s="5"/>
      <c r="E546" s="5"/>
      <c r="F546" s="5"/>
      <c r="G546" s="5"/>
      <c r="H546" s="5"/>
      <c r="I546" s="5"/>
    </row>
    <row r="547" spans="2:9" x14ac:dyDescent="0.25">
      <c r="B547" s="5"/>
      <c r="C547" s="5"/>
      <c r="D547" s="5"/>
      <c r="E547" s="5"/>
      <c r="F547" s="5"/>
      <c r="G547" s="5"/>
      <c r="H547" s="5"/>
      <c r="I547" s="5"/>
    </row>
    <row r="548" spans="2:9" x14ac:dyDescent="0.25">
      <c r="B548" s="5"/>
      <c r="C548" s="5"/>
      <c r="D548" s="5"/>
      <c r="E548" s="5"/>
      <c r="F548" s="5"/>
      <c r="G548" s="5"/>
      <c r="H548" s="5"/>
      <c r="I548" s="5"/>
    </row>
    <row r="549" spans="2:9" x14ac:dyDescent="0.25">
      <c r="B549" s="5"/>
      <c r="C549" s="5"/>
      <c r="D549" s="5"/>
      <c r="E549" s="5"/>
      <c r="F549" s="5"/>
      <c r="G549" s="5"/>
      <c r="H549" s="5"/>
      <c r="I549" s="5"/>
    </row>
    <row r="550" spans="2:9" x14ac:dyDescent="0.25">
      <c r="B550" s="5"/>
      <c r="C550" s="5"/>
      <c r="D550" s="5"/>
      <c r="E550" s="5"/>
      <c r="F550" s="5"/>
      <c r="G550" s="5"/>
      <c r="H550" s="5"/>
      <c r="I550" s="5"/>
    </row>
    <row r="551" spans="2:9" x14ac:dyDescent="0.25">
      <c r="B551" s="5"/>
      <c r="C551" s="5"/>
      <c r="D551" s="5"/>
      <c r="E551" s="5"/>
      <c r="F551" s="5"/>
      <c r="G551" s="5"/>
      <c r="H551" s="5"/>
      <c r="I551" s="5"/>
    </row>
    <row r="552" spans="2:9" x14ac:dyDescent="0.25">
      <c r="B552" s="5"/>
      <c r="C552" s="5"/>
      <c r="D552" s="5"/>
      <c r="E552" s="5"/>
      <c r="F552" s="5"/>
      <c r="G552" s="5"/>
      <c r="H552" s="5"/>
      <c r="I552" s="5"/>
    </row>
    <row r="553" spans="2:9" x14ac:dyDescent="0.25">
      <c r="B553" s="5"/>
      <c r="C553" s="5"/>
      <c r="D553" s="5"/>
      <c r="E553" s="5"/>
      <c r="F553" s="5"/>
      <c r="G553" s="5"/>
      <c r="H553" s="5"/>
      <c r="I553" s="5"/>
    </row>
    <row r="554" spans="2:9" x14ac:dyDescent="0.25">
      <c r="B554" s="5"/>
      <c r="C554" s="5"/>
      <c r="D554" s="5"/>
      <c r="E554" s="5"/>
      <c r="F554" s="5"/>
      <c r="G554" s="5"/>
      <c r="H554" s="5"/>
      <c r="I554" s="5"/>
    </row>
    <row r="555" spans="2:9" x14ac:dyDescent="0.25">
      <c r="B555" s="5"/>
      <c r="C555" s="5"/>
      <c r="D555" s="5"/>
      <c r="E555" s="5"/>
      <c r="F555" s="5"/>
      <c r="G555" s="5"/>
      <c r="H555" s="5"/>
      <c r="I555" s="5"/>
    </row>
    <row r="556" spans="2:9" x14ac:dyDescent="0.25">
      <c r="B556" s="5"/>
      <c r="C556" s="5"/>
      <c r="D556" s="5"/>
      <c r="E556" s="5"/>
      <c r="F556" s="5"/>
      <c r="G556" s="5"/>
      <c r="H556" s="5"/>
      <c r="I556" s="5"/>
    </row>
    <row r="557" spans="2:9" x14ac:dyDescent="0.25">
      <c r="B557" s="5"/>
      <c r="C557" s="5"/>
      <c r="D557" s="5"/>
      <c r="E557" s="5"/>
      <c r="F557" s="5"/>
      <c r="G557" s="5"/>
      <c r="H557" s="5"/>
      <c r="I557" s="5"/>
    </row>
    <row r="558" spans="2:9" x14ac:dyDescent="0.25">
      <c r="B558" s="5"/>
      <c r="C558" s="5"/>
      <c r="D558" s="5"/>
      <c r="E558" s="5"/>
      <c r="F558" s="5"/>
      <c r="G558" s="5"/>
      <c r="H558" s="5"/>
      <c r="I558" s="5"/>
    </row>
    <row r="559" spans="2:9" x14ac:dyDescent="0.25">
      <c r="B559" s="5"/>
      <c r="C559" s="5"/>
      <c r="D559" s="5"/>
      <c r="E559" s="5"/>
      <c r="F559" s="5"/>
      <c r="G559" s="5"/>
      <c r="H559" s="5"/>
      <c r="I559" s="5"/>
    </row>
    <row r="560" spans="2:9" x14ac:dyDescent="0.25">
      <c r="B560" s="5"/>
      <c r="C560" s="5"/>
      <c r="D560" s="5"/>
      <c r="E560" s="5"/>
      <c r="F560" s="5"/>
      <c r="G560" s="5"/>
      <c r="H560" s="5"/>
      <c r="I560" s="5"/>
    </row>
    <row r="561" spans="2:9" x14ac:dyDescent="0.25">
      <c r="B561" s="5"/>
      <c r="C561" s="5"/>
      <c r="D561" s="5"/>
      <c r="E561" s="5"/>
      <c r="F561" s="5"/>
      <c r="G561" s="5"/>
      <c r="H561" s="5"/>
      <c r="I561" s="5"/>
    </row>
    <row r="562" spans="2:9" x14ac:dyDescent="0.25">
      <c r="B562" s="5"/>
      <c r="C562" s="5"/>
      <c r="D562" s="5"/>
      <c r="E562" s="5"/>
      <c r="F562" s="5"/>
      <c r="G562" s="5"/>
      <c r="H562" s="5"/>
      <c r="I562" s="5"/>
    </row>
    <row r="563" spans="2:9" x14ac:dyDescent="0.25">
      <c r="B563" s="5"/>
      <c r="C563" s="5"/>
      <c r="D563" s="5"/>
      <c r="E563" s="5"/>
      <c r="F563" s="5"/>
      <c r="G563" s="5"/>
      <c r="H563" s="5"/>
      <c r="I563" s="5"/>
    </row>
    <row r="564" spans="2:9" x14ac:dyDescent="0.25">
      <c r="B564" s="5"/>
      <c r="C564" s="5"/>
      <c r="D564" s="5"/>
      <c r="E564" s="5"/>
      <c r="F564" s="5"/>
      <c r="G564" s="5"/>
      <c r="H564" s="5"/>
      <c r="I564" s="5"/>
    </row>
    <row r="565" spans="2:9" x14ac:dyDescent="0.25">
      <c r="B565" s="5"/>
      <c r="C565" s="5"/>
      <c r="D565" s="5"/>
      <c r="E565" s="5"/>
      <c r="F565" s="5"/>
      <c r="G565" s="5"/>
      <c r="H565" s="5"/>
      <c r="I565" s="5"/>
    </row>
    <row r="566" spans="2:9" x14ac:dyDescent="0.25">
      <c r="B566" s="5"/>
      <c r="C566" s="5"/>
      <c r="D566" s="5"/>
      <c r="E566" s="5"/>
      <c r="F566" s="5"/>
      <c r="G566" s="5"/>
      <c r="H566" s="5"/>
      <c r="I566" s="5"/>
    </row>
    <row r="567" spans="2:9" x14ac:dyDescent="0.25">
      <c r="B567" s="5"/>
      <c r="C567" s="5"/>
      <c r="D567" s="5"/>
      <c r="E567" s="5"/>
      <c r="F567" s="5"/>
      <c r="G567" s="5"/>
      <c r="H567" s="5"/>
      <c r="I567" s="5"/>
    </row>
    <row r="568" spans="2:9" x14ac:dyDescent="0.25">
      <c r="B568" s="5"/>
      <c r="C568" s="5"/>
      <c r="D568" s="5"/>
      <c r="E568" s="5"/>
      <c r="F568" s="5"/>
      <c r="G568" s="5"/>
      <c r="H568" s="5"/>
      <c r="I568" s="5"/>
    </row>
    <row r="569" spans="2:9" x14ac:dyDescent="0.25">
      <c r="B569" s="5"/>
      <c r="C569" s="5"/>
      <c r="D569" s="5"/>
      <c r="E569" s="5"/>
      <c r="F569" s="5"/>
      <c r="G569" s="5"/>
      <c r="H569" s="5"/>
      <c r="I569" s="5"/>
    </row>
    <row r="570" spans="2:9" x14ac:dyDescent="0.25">
      <c r="B570" s="5"/>
      <c r="C570" s="5"/>
      <c r="D570" s="5"/>
      <c r="E570" s="5"/>
      <c r="F570" s="5"/>
      <c r="G570" s="5"/>
      <c r="H570" s="5"/>
      <c r="I570" s="5"/>
    </row>
    <row r="571" spans="2:9" x14ac:dyDescent="0.25">
      <c r="B571" s="5"/>
      <c r="C571" s="5"/>
      <c r="D571" s="5"/>
      <c r="E571" s="5"/>
      <c r="F571" s="5"/>
      <c r="G571" s="5"/>
      <c r="H571" s="5"/>
      <c r="I571" s="5"/>
    </row>
    <row r="572" spans="2:9" x14ac:dyDescent="0.25">
      <c r="B572" s="5"/>
      <c r="C572" s="5"/>
      <c r="D572" s="5"/>
      <c r="E572" s="5"/>
      <c r="F572" s="5"/>
      <c r="G572" s="5"/>
      <c r="H572" s="5"/>
      <c r="I572" s="5"/>
    </row>
    <row r="573" spans="2:9" x14ac:dyDescent="0.25">
      <c r="B573" s="5"/>
      <c r="C573" s="5"/>
      <c r="D573" s="5"/>
      <c r="E573" s="5"/>
      <c r="F573" s="5"/>
      <c r="G573" s="5"/>
      <c r="H573" s="5"/>
      <c r="I573" s="5"/>
    </row>
    <row r="574" spans="2:9" x14ac:dyDescent="0.25">
      <c r="B574" s="5"/>
      <c r="C574" s="5"/>
      <c r="D574" s="5"/>
      <c r="E574" s="5"/>
      <c r="F574" s="5"/>
      <c r="G574" s="5"/>
      <c r="H574" s="5"/>
      <c r="I574" s="5"/>
    </row>
    <row r="575" spans="2:9" x14ac:dyDescent="0.25">
      <c r="B575" s="5"/>
      <c r="C575" s="5"/>
      <c r="D575" s="5"/>
      <c r="E575" s="5"/>
      <c r="F575" s="5"/>
      <c r="G575" s="5"/>
      <c r="H575" s="5"/>
      <c r="I575" s="5"/>
    </row>
    <row r="576" spans="2:9" x14ac:dyDescent="0.25">
      <c r="B576" s="5"/>
      <c r="C576" s="5"/>
      <c r="D576" s="5"/>
      <c r="E576" s="5"/>
      <c r="F576" s="5"/>
      <c r="G576" s="5"/>
      <c r="H576" s="5"/>
      <c r="I576" s="5"/>
    </row>
    <row r="577" spans="2:9" x14ac:dyDescent="0.25">
      <c r="B577" s="5"/>
      <c r="C577" s="5"/>
      <c r="D577" s="5"/>
      <c r="E577" s="5"/>
      <c r="F577" s="5"/>
      <c r="G577" s="5"/>
      <c r="H577" s="5"/>
      <c r="I577" s="5"/>
    </row>
    <row r="578" spans="2:9" x14ac:dyDescent="0.25">
      <c r="B578" s="5"/>
      <c r="C578" s="5"/>
      <c r="D578" s="5"/>
      <c r="E578" s="5"/>
      <c r="F578" s="5"/>
      <c r="G578" s="5"/>
      <c r="H578" s="5"/>
      <c r="I578" s="5"/>
    </row>
    <row r="579" spans="2:9" x14ac:dyDescent="0.25">
      <c r="B579" s="5"/>
      <c r="C579" s="5"/>
      <c r="D579" s="5"/>
      <c r="E579" s="5"/>
      <c r="F579" s="5"/>
      <c r="G579" s="5"/>
      <c r="H579" s="5"/>
      <c r="I579" s="5"/>
    </row>
    <row r="580" spans="2:9" x14ac:dyDescent="0.25">
      <c r="B580" s="5"/>
      <c r="C580" s="5"/>
      <c r="D580" s="5"/>
      <c r="E580" s="5"/>
      <c r="F580" s="5"/>
      <c r="G580" s="5"/>
      <c r="H580" s="5"/>
      <c r="I580" s="5"/>
    </row>
    <row r="581" spans="2:9" x14ac:dyDescent="0.25">
      <c r="B581" s="5"/>
      <c r="C581" s="5"/>
      <c r="D581" s="5"/>
      <c r="E581" s="5"/>
      <c r="F581" s="5"/>
      <c r="G581" s="5"/>
      <c r="H581" s="5"/>
      <c r="I581" s="5"/>
    </row>
    <row r="582" spans="2:9" x14ac:dyDescent="0.25">
      <c r="B582" s="5"/>
      <c r="C582" s="5"/>
      <c r="D582" s="5"/>
      <c r="E582" s="5"/>
      <c r="F582" s="5"/>
      <c r="G582" s="5"/>
      <c r="H582" s="5"/>
      <c r="I582" s="5"/>
    </row>
    <row r="583" spans="2:9" x14ac:dyDescent="0.25">
      <c r="B583" s="5"/>
      <c r="C583" s="5"/>
      <c r="D583" s="5"/>
      <c r="E583" s="5"/>
      <c r="F583" s="5"/>
      <c r="G583" s="5"/>
      <c r="H583" s="5"/>
      <c r="I583" s="5"/>
    </row>
    <row r="584" spans="2:9" x14ac:dyDescent="0.25">
      <c r="B584" s="5"/>
      <c r="C584" s="5"/>
      <c r="D584" s="5"/>
      <c r="E584" s="5"/>
      <c r="F584" s="5"/>
      <c r="G584" s="5"/>
      <c r="H584" s="5"/>
      <c r="I584" s="5"/>
    </row>
    <row r="585" spans="2:9" x14ac:dyDescent="0.25">
      <c r="B585" s="5"/>
      <c r="C585" s="5"/>
      <c r="D585" s="5"/>
      <c r="E585" s="5"/>
      <c r="F585" s="5"/>
      <c r="G585" s="5"/>
      <c r="H585" s="5"/>
      <c r="I585" s="5"/>
    </row>
    <row r="586" spans="2:9" x14ac:dyDescent="0.25">
      <c r="B586" s="5"/>
      <c r="C586" s="5"/>
      <c r="D586" s="5"/>
      <c r="E586" s="5"/>
      <c r="F586" s="5"/>
      <c r="G586" s="5"/>
      <c r="H586" s="5"/>
      <c r="I586" s="5"/>
    </row>
    <row r="587" spans="2:9" x14ac:dyDescent="0.25">
      <c r="B587" s="5"/>
      <c r="C587" s="5"/>
      <c r="D587" s="5"/>
      <c r="E587" s="5"/>
      <c r="F587" s="5"/>
      <c r="G587" s="5"/>
      <c r="H587" s="5"/>
      <c r="I587" s="5"/>
    </row>
    <row r="588" spans="2:9" x14ac:dyDescent="0.25">
      <c r="B588" s="5"/>
      <c r="C588" s="5"/>
      <c r="D588" s="5"/>
      <c r="E588" s="5"/>
      <c r="F588" s="5"/>
      <c r="G588" s="5"/>
      <c r="H588" s="5"/>
      <c r="I588" s="5"/>
    </row>
    <row r="589" spans="2:9" x14ac:dyDescent="0.25">
      <c r="B589" s="5"/>
      <c r="C589" s="5"/>
      <c r="D589" s="5"/>
      <c r="E589" s="5"/>
      <c r="F589" s="5"/>
      <c r="G589" s="5"/>
      <c r="H589" s="5"/>
      <c r="I589" s="5"/>
    </row>
    <row r="590" spans="2:9" x14ac:dyDescent="0.25">
      <c r="B590" s="5"/>
      <c r="C590" s="5"/>
      <c r="D590" s="5"/>
      <c r="E590" s="5"/>
      <c r="F590" s="5"/>
      <c r="G590" s="5"/>
      <c r="H590" s="5"/>
      <c r="I590" s="5"/>
    </row>
    <row r="591" spans="2:9" x14ac:dyDescent="0.25">
      <c r="B591" s="5"/>
      <c r="C591" s="5"/>
      <c r="D591" s="5"/>
      <c r="E591" s="5"/>
      <c r="F591" s="5"/>
      <c r="G591" s="5"/>
      <c r="H591" s="5"/>
      <c r="I591" s="5"/>
    </row>
    <row r="592" spans="2:9" x14ac:dyDescent="0.25">
      <c r="B592" s="5"/>
      <c r="C592" s="5"/>
      <c r="D592" s="5"/>
      <c r="E592" s="5"/>
      <c r="F592" s="5"/>
      <c r="G592" s="5"/>
      <c r="H592" s="5"/>
      <c r="I592" s="5"/>
    </row>
    <row r="593" spans="2:9" x14ac:dyDescent="0.25">
      <c r="B593" s="5"/>
      <c r="C593" s="5"/>
      <c r="D593" s="5"/>
      <c r="E593" s="5"/>
      <c r="F593" s="5"/>
      <c r="G593" s="5"/>
      <c r="H593" s="5"/>
      <c r="I593" s="5"/>
    </row>
    <row r="594" spans="2:9" x14ac:dyDescent="0.25">
      <c r="B594" s="5"/>
      <c r="C594" s="5"/>
      <c r="D594" s="5"/>
      <c r="E594" s="5"/>
      <c r="F594" s="5"/>
      <c r="G594" s="5"/>
      <c r="H594" s="5"/>
      <c r="I594" s="5"/>
    </row>
    <row r="595" spans="2:9" x14ac:dyDescent="0.25">
      <c r="B595" s="5"/>
      <c r="C595" s="5"/>
      <c r="D595" s="5"/>
      <c r="E595" s="5"/>
      <c r="F595" s="5"/>
      <c r="G595" s="5"/>
      <c r="H595" s="5"/>
      <c r="I595" s="5"/>
    </row>
    <row r="596" spans="2:9" x14ac:dyDescent="0.25">
      <c r="B596" s="5"/>
      <c r="C596" s="5"/>
      <c r="D596" s="5"/>
      <c r="E596" s="5"/>
      <c r="F596" s="5"/>
      <c r="G596" s="5"/>
      <c r="H596" s="5"/>
      <c r="I596" s="5"/>
    </row>
    <row r="597" spans="2:9" x14ac:dyDescent="0.25">
      <c r="B597" s="5"/>
      <c r="C597" s="5"/>
      <c r="D597" s="5"/>
      <c r="E597" s="5"/>
      <c r="F597" s="5"/>
      <c r="G597" s="5"/>
      <c r="H597" s="5"/>
      <c r="I597" s="5"/>
    </row>
    <row r="598" spans="2:9" x14ac:dyDescent="0.25">
      <c r="B598" s="5"/>
      <c r="C598" s="5"/>
      <c r="D598" s="5"/>
      <c r="E598" s="5"/>
      <c r="F598" s="5"/>
      <c r="G598" s="5"/>
      <c r="H598" s="5"/>
      <c r="I598" s="5"/>
    </row>
    <row r="599" spans="2:9" x14ac:dyDescent="0.25">
      <c r="B599" s="5"/>
      <c r="C599" s="5"/>
      <c r="D599" s="5"/>
      <c r="E599" s="5"/>
      <c r="F599" s="5"/>
      <c r="G599" s="5"/>
      <c r="H599" s="5"/>
      <c r="I599" s="5"/>
    </row>
    <row r="600" spans="2:9" x14ac:dyDescent="0.25">
      <c r="B600" s="5"/>
      <c r="C600" s="5"/>
      <c r="D600" s="5"/>
      <c r="E600" s="5"/>
      <c r="F600" s="5"/>
      <c r="G600" s="5"/>
      <c r="H600" s="5"/>
      <c r="I600" s="5"/>
    </row>
    <row r="601" spans="2:9" x14ac:dyDescent="0.25">
      <c r="B601" s="5"/>
      <c r="C601" s="5"/>
      <c r="D601" s="5"/>
      <c r="E601" s="5"/>
      <c r="F601" s="5"/>
      <c r="G601" s="5"/>
      <c r="H601" s="5"/>
      <c r="I601" s="5"/>
    </row>
    <row r="602" spans="2:9" x14ac:dyDescent="0.25">
      <c r="B602" s="5"/>
      <c r="C602" s="5"/>
      <c r="D602" s="5"/>
      <c r="E602" s="5"/>
      <c r="F602" s="5"/>
      <c r="G602" s="5"/>
      <c r="H602" s="5"/>
      <c r="I602" s="5"/>
    </row>
    <row r="603" spans="2:9" x14ac:dyDescent="0.25">
      <c r="B603" s="5"/>
      <c r="C603" s="5"/>
      <c r="D603" s="5"/>
      <c r="E603" s="5"/>
      <c r="F603" s="5"/>
      <c r="G603" s="5"/>
      <c r="H603" s="5"/>
      <c r="I603" s="5"/>
    </row>
    <row r="604" spans="2:9" x14ac:dyDescent="0.25">
      <c r="B604" s="5"/>
      <c r="C604" s="5"/>
      <c r="D604" s="5"/>
      <c r="E604" s="5"/>
      <c r="F604" s="5"/>
      <c r="G604" s="5"/>
      <c r="H604" s="5"/>
      <c r="I604" s="5"/>
    </row>
    <row r="605" spans="2:9" x14ac:dyDescent="0.25">
      <c r="B605" s="5"/>
      <c r="C605" s="5"/>
      <c r="D605" s="5"/>
      <c r="E605" s="5"/>
      <c r="F605" s="5"/>
      <c r="G605" s="5"/>
      <c r="H605" s="5"/>
      <c r="I605" s="5"/>
    </row>
    <row r="606" spans="2:9" x14ac:dyDescent="0.25">
      <c r="B606" s="5"/>
      <c r="C606" s="5"/>
      <c r="D606" s="5"/>
      <c r="E606" s="5"/>
      <c r="F606" s="5"/>
      <c r="G606" s="5"/>
      <c r="H606" s="5"/>
      <c r="I606" s="5"/>
    </row>
    <row r="607" spans="2:9" x14ac:dyDescent="0.25">
      <c r="B607" s="5"/>
      <c r="C607" s="5"/>
      <c r="D607" s="5"/>
      <c r="E607" s="5"/>
      <c r="F607" s="5"/>
      <c r="G607" s="5"/>
      <c r="H607" s="5"/>
      <c r="I607" s="5"/>
    </row>
    <row r="608" spans="2:9" x14ac:dyDescent="0.25">
      <c r="B608" s="5"/>
      <c r="C608" s="5"/>
      <c r="D608" s="5"/>
      <c r="E608" s="5"/>
      <c r="F608" s="5"/>
      <c r="G608" s="5"/>
      <c r="H608" s="5"/>
      <c r="I608" s="5"/>
    </row>
    <row r="609" spans="2:9" x14ac:dyDescent="0.25">
      <c r="B609" s="5"/>
      <c r="C609" s="5"/>
      <c r="D609" s="5"/>
      <c r="E609" s="5"/>
      <c r="F609" s="5"/>
      <c r="G609" s="5"/>
      <c r="H609" s="5"/>
      <c r="I609" s="5"/>
    </row>
    <row r="610" spans="2:9" x14ac:dyDescent="0.25">
      <c r="B610" s="5"/>
      <c r="C610" s="5"/>
      <c r="D610" s="5"/>
      <c r="E610" s="5"/>
      <c r="F610" s="5"/>
      <c r="G610" s="5"/>
      <c r="H610" s="5"/>
      <c r="I610" s="5"/>
    </row>
    <row r="611" spans="2:9" x14ac:dyDescent="0.25">
      <c r="B611" s="5"/>
      <c r="C611" s="5"/>
      <c r="D611" s="5"/>
      <c r="E611" s="5"/>
      <c r="F611" s="5"/>
      <c r="G611" s="5"/>
      <c r="H611" s="5"/>
      <c r="I611" s="5"/>
    </row>
    <row r="612" spans="2:9" x14ac:dyDescent="0.25">
      <c r="B612" s="5"/>
      <c r="C612" s="5"/>
      <c r="D612" s="5"/>
      <c r="E612" s="5"/>
      <c r="F612" s="5"/>
      <c r="G612" s="5"/>
      <c r="H612" s="5"/>
      <c r="I612" s="5"/>
    </row>
    <row r="613" spans="2:9" x14ac:dyDescent="0.25">
      <c r="B613" s="5"/>
      <c r="C613" s="5"/>
      <c r="D613" s="5"/>
      <c r="E613" s="5"/>
      <c r="F613" s="5"/>
      <c r="G613" s="5"/>
      <c r="H613" s="5"/>
      <c r="I613" s="5"/>
    </row>
    <row r="614" spans="2:9" x14ac:dyDescent="0.25">
      <c r="B614" s="5"/>
      <c r="C614" s="5"/>
      <c r="D614" s="5"/>
      <c r="E614" s="5"/>
      <c r="F614" s="5"/>
      <c r="G614" s="5"/>
      <c r="H614" s="5"/>
      <c r="I614" s="5"/>
    </row>
    <row r="615" spans="2:9" x14ac:dyDescent="0.25">
      <c r="B615" s="5"/>
      <c r="C615" s="5"/>
      <c r="D615" s="5"/>
      <c r="E615" s="5"/>
      <c r="F615" s="5"/>
      <c r="G615" s="5"/>
      <c r="H615" s="5"/>
      <c r="I615" s="5"/>
    </row>
    <row r="616" spans="2:9" x14ac:dyDescent="0.25">
      <c r="B616" s="5"/>
      <c r="C616" s="5"/>
      <c r="D616" s="5"/>
      <c r="E616" s="5"/>
      <c r="F616" s="5"/>
      <c r="G616" s="5"/>
      <c r="H616" s="5"/>
      <c r="I616" s="5"/>
    </row>
    <row r="617" spans="2:9" x14ac:dyDescent="0.25">
      <c r="B617" s="5"/>
      <c r="C617" s="5"/>
      <c r="D617" s="5"/>
      <c r="E617" s="5"/>
      <c r="F617" s="5"/>
      <c r="G617" s="5"/>
      <c r="H617" s="5"/>
      <c r="I617" s="5"/>
    </row>
    <row r="618" spans="2:9" x14ac:dyDescent="0.25">
      <c r="B618" s="5"/>
      <c r="C618" s="5"/>
      <c r="D618" s="5"/>
      <c r="E618" s="5"/>
      <c r="F618" s="5"/>
      <c r="G618" s="5"/>
      <c r="H618" s="5"/>
      <c r="I618" s="5"/>
    </row>
    <row r="619" spans="2:9" x14ac:dyDescent="0.25">
      <c r="B619" s="5"/>
      <c r="C619" s="5"/>
      <c r="D619" s="5"/>
      <c r="E619" s="5"/>
      <c r="F619" s="5"/>
      <c r="G619" s="5"/>
      <c r="H619" s="5"/>
      <c r="I619" s="5"/>
    </row>
    <row r="620" spans="2:9" x14ac:dyDescent="0.25">
      <c r="B620" s="5"/>
      <c r="C620" s="5"/>
      <c r="D620" s="5"/>
      <c r="E620" s="5"/>
      <c r="F620" s="5"/>
      <c r="G620" s="5"/>
      <c r="H620" s="5"/>
      <c r="I620" s="5"/>
    </row>
    <row r="621" spans="2:9" x14ac:dyDescent="0.25">
      <c r="B621" s="5"/>
      <c r="C621" s="5"/>
      <c r="D621" s="5"/>
      <c r="E621" s="5"/>
      <c r="F621" s="5"/>
      <c r="G621" s="5"/>
      <c r="H621" s="5"/>
      <c r="I621" s="5"/>
    </row>
    <row r="622" spans="2:9" x14ac:dyDescent="0.25">
      <c r="B622" s="5"/>
      <c r="C622" s="5"/>
      <c r="D622" s="5"/>
      <c r="E622" s="5"/>
      <c r="F622" s="5"/>
      <c r="G622" s="5"/>
      <c r="H622" s="5"/>
      <c r="I622" s="5"/>
    </row>
    <row r="623" spans="2:9" x14ac:dyDescent="0.25">
      <c r="B623" s="5"/>
      <c r="C623" s="5"/>
      <c r="D623" s="5"/>
      <c r="E623" s="5"/>
      <c r="F623" s="5"/>
      <c r="G623" s="5"/>
      <c r="H623" s="5"/>
      <c r="I623" s="5"/>
    </row>
    <row r="624" spans="2:9" x14ac:dyDescent="0.25">
      <c r="B624" s="5"/>
      <c r="C624" s="5"/>
      <c r="D624" s="5"/>
      <c r="E624" s="5"/>
      <c r="F624" s="5"/>
      <c r="G624" s="5"/>
      <c r="H624" s="5"/>
      <c r="I624" s="5"/>
    </row>
    <row r="625" spans="2:9" x14ac:dyDescent="0.25">
      <c r="B625" s="5"/>
      <c r="C625" s="5"/>
      <c r="D625" s="5"/>
      <c r="E625" s="5"/>
      <c r="F625" s="5"/>
      <c r="G625" s="5"/>
      <c r="H625" s="5"/>
      <c r="I625" s="5"/>
    </row>
    <row r="626" spans="2:9" x14ac:dyDescent="0.25">
      <c r="B626" s="5"/>
      <c r="C626" s="5"/>
      <c r="D626" s="5"/>
      <c r="E626" s="5"/>
      <c r="F626" s="5"/>
      <c r="G626" s="5"/>
      <c r="H626" s="5"/>
      <c r="I626" s="5"/>
    </row>
    <row r="627" spans="2:9" x14ac:dyDescent="0.25">
      <c r="B627" s="5"/>
      <c r="C627" s="5"/>
      <c r="D627" s="5"/>
      <c r="E627" s="5"/>
      <c r="F627" s="5"/>
      <c r="G627" s="5"/>
      <c r="H627" s="5"/>
      <c r="I627" s="5"/>
    </row>
    <row r="628" spans="2:9" x14ac:dyDescent="0.25">
      <c r="B628" s="5"/>
      <c r="C628" s="5"/>
      <c r="D628" s="5"/>
      <c r="E628" s="5"/>
      <c r="F628" s="5"/>
      <c r="G628" s="5"/>
      <c r="H628" s="5"/>
      <c r="I628" s="5"/>
    </row>
    <row r="629" spans="2:9" x14ac:dyDescent="0.25">
      <c r="B629" s="5"/>
      <c r="C629" s="5"/>
      <c r="D629" s="5"/>
      <c r="E629" s="5"/>
      <c r="F629" s="5"/>
      <c r="G629" s="5"/>
      <c r="H629" s="5"/>
      <c r="I629" s="5"/>
    </row>
    <row r="630" spans="2:9" x14ac:dyDescent="0.25">
      <c r="B630" s="5"/>
      <c r="C630" s="5"/>
      <c r="D630" s="5"/>
      <c r="E630" s="5"/>
      <c r="F630" s="5"/>
      <c r="G630" s="5"/>
      <c r="H630" s="5"/>
      <c r="I630" s="5"/>
    </row>
    <row r="631" spans="2:9" x14ac:dyDescent="0.25">
      <c r="B631" s="5"/>
      <c r="C631" s="5"/>
      <c r="D631" s="5"/>
      <c r="E631" s="5"/>
      <c r="F631" s="5"/>
      <c r="G631" s="5"/>
      <c r="H631" s="5"/>
      <c r="I631" s="5"/>
    </row>
    <row r="632" spans="2:9" x14ac:dyDescent="0.25">
      <c r="B632" s="5"/>
      <c r="C632" s="5"/>
      <c r="D632" s="5"/>
      <c r="E632" s="5"/>
      <c r="F632" s="5"/>
      <c r="G632" s="5"/>
      <c r="H632" s="5"/>
      <c r="I632" s="5"/>
    </row>
    <row r="633" spans="2:9" x14ac:dyDescent="0.25">
      <c r="B633" s="5"/>
      <c r="C633" s="5"/>
      <c r="D633" s="5"/>
      <c r="E633" s="5"/>
      <c r="F633" s="5"/>
      <c r="G633" s="5"/>
      <c r="H633" s="5"/>
      <c r="I633" s="5"/>
    </row>
    <row r="634" spans="2:9" x14ac:dyDescent="0.25">
      <c r="B634" s="5"/>
      <c r="C634" s="5"/>
      <c r="D634" s="5"/>
      <c r="E634" s="5"/>
      <c r="F634" s="5"/>
      <c r="G634" s="5"/>
      <c r="H634" s="5"/>
      <c r="I634" s="5"/>
    </row>
    <row r="635" spans="2:9" x14ac:dyDescent="0.25">
      <c r="B635" s="5"/>
      <c r="C635" s="5"/>
      <c r="D635" s="5"/>
      <c r="E635" s="5"/>
      <c r="F635" s="5"/>
      <c r="G635" s="5"/>
      <c r="H635" s="5"/>
      <c r="I635" s="5"/>
    </row>
    <row r="636" spans="2:9" x14ac:dyDescent="0.25">
      <c r="B636" s="5"/>
      <c r="C636" s="5"/>
      <c r="D636" s="5"/>
      <c r="E636" s="5"/>
      <c r="F636" s="5"/>
      <c r="G636" s="5"/>
      <c r="H636" s="5"/>
      <c r="I636" s="5"/>
    </row>
    <row r="637" spans="2:9" x14ac:dyDescent="0.25">
      <c r="B637" s="5"/>
      <c r="C637" s="5"/>
      <c r="D637" s="5"/>
      <c r="E637" s="5"/>
      <c r="F637" s="5"/>
      <c r="G637" s="5"/>
      <c r="H637" s="5"/>
      <c r="I637" s="5"/>
    </row>
    <row r="638" spans="2:9" x14ac:dyDescent="0.25">
      <c r="B638" s="5"/>
      <c r="C638" s="5"/>
      <c r="D638" s="5"/>
      <c r="E638" s="5"/>
      <c r="F638" s="5"/>
      <c r="G638" s="5"/>
      <c r="H638" s="5"/>
      <c r="I638" s="5"/>
    </row>
    <row r="639" spans="2:9" x14ac:dyDescent="0.25">
      <c r="B639" s="5"/>
      <c r="C639" s="5"/>
      <c r="D639" s="5"/>
      <c r="E639" s="5"/>
      <c r="F639" s="5"/>
      <c r="G639" s="5"/>
      <c r="H639" s="5"/>
      <c r="I639" s="5"/>
    </row>
    <row r="640" spans="2:9" x14ac:dyDescent="0.25">
      <c r="B640" s="5"/>
      <c r="C640" s="5"/>
      <c r="D640" s="5"/>
      <c r="E640" s="5"/>
      <c r="F640" s="5"/>
      <c r="G640" s="5"/>
      <c r="H640" s="5"/>
      <c r="I640" s="5"/>
    </row>
    <row r="641" spans="2:9" x14ac:dyDescent="0.25">
      <c r="B641" s="5"/>
      <c r="C641" s="5"/>
      <c r="D641" s="5"/>
      <c r="E641" s="5"/>
      <c r="F641" s="5"/>
      <c r="G641" s="5"/>
      <c r="H641" s="5"/>
      <c r="I641" s="5"/>
    </row>
    <row r="642" spans="2:9" x14ac:dyDescent="0.25">
      <c r="B642" s="5"/>
      <c r="C642" s="5"/>
      <c r="D642" s="5"/>
      <c r="E642" s="5"/>
      <c r="F642" s="5"/>
      <c r="G642" s="5"/>
      <c r="H642" s="5"/>
      <c r="I642" s="5"/>
    </row>
    <row r="643" spans="2:9" x14ac:dyDescent="0.25">
      <c r="B643" s="5"/>
      <c r="C643" s="5"/>
      <c r="D643" s="5"/>
      <c r="E643" s="5"/>
      <c r="F643" s="5"/>
      <c r="G643" s="5"/>
      <c r="H643" s="5"/>
      <c r="I643" s="5"/>
    </row>
    <row r="644" spans="2:9" x14ac:dyDescent="0.25">
      <c r="B644" s="5"/>
      <c r="C644" s="5"/>
      <c r="D644" s="5"/>
      <c r="E644" s="5"/>
      <c r="F644" s="5"/>
      <c r="G644" s="5"/>
      <c r="H644" s="5"/>
      <c r="I644" s="5"/>
    </row>
    <row r="645" spans="2:9" x14ac:dyDescent="0.25">
      <c r="B645" s="5"/>
      <c r="C645" s="5"/>
      <c r="D645" s="5"/>
      <c r="E645" s="5"/>
      <c r="F645" s="5"/>
      <c r="G645" s="5"/>
      <c r="H645" s="5"/>
      <c r="I645" s="5"/>
    </row>
    <row r="646" spans="2:9" x14ac:dyDescent="0.25">
      <c r="B646" s="5"/>
      <c r="C646" s="5"/>
      <c r="D646" s="5"/>
      <c r="E646" s="5"/>
      <c r="F646" s="5"/>
      <c r="G646" s="5"/>
      <c r="H646" s="5"/>
      <c r="I646" s="5"/>
    </row>
    <row r="647" spans="2:9" x14ac:dyDescent="0.25">
      <c r="B647" s="5"/>
      <c r="C647" s="5"/>
      <c r="D647" s="5"/>
      <c r="E647" s="5"/>
      <c r="F647" s="5"/>
      <c r="G647" s="5"/>
      <c r="H647" s="5"/>
      <c r="I647" s="5"/>
    </row>
    <row r="648" spans="2:9" x14ac:dyDescent="0.25">
      <c r="B648" s="5"/>
      <c r="C648" s="5"/>
      <c r="D648" s="5"/>
      <c r="E648" s="5"/>
      <c r="F648" s="5"/>
      <c r="G648" s="5"/>
      <c r="H648" s="5"/>
      <c r="I648" s="5"/>
    </row>
    <row r="649" spans="2:9" x14ac:dyDescent="0.25">
      <c r="B649" s="5"/>
      <c r="C649" s="5"/>
      <c r="D649" s="5"/>
      <c r="E649" s="5"/>
      <c r="F649" s="5"/>
      <c r="G649" s="5"/>
      <c r="H649" s="5"/>
      <c r="I649" s="5"/>
    </row>
    <row r="650" spans="2:9" x14ac:dyDescent="0.25">
      <c r="B650" s="5"/>
      <c r="C650" s="5"/>
      <c r="D650" s="5"/>
      <c r="E650" s="5"/>
      <c r="F650" s="5"/>
      <c r="G650" s="5"/>
      <c r="H650" s="5"/>
      <c r="I650" s="5"/>
    </row>
    <row r="651" spans="2:9" x14ac:dyDescent="0.25">
      <c r="B651" s="5"/>
      <c r="C651" s="5"/>
      <c r="D651" s="5"/>
      <c r="E651" s="5"/>
      <c r="F651" s="5"/>
      <c r="G651" s="5"/>
      <c r="H651" s="5"/>
      <c r="I651" s="5"/>
    </row>
    <row r="652" spans="2:9" x14ac:dyDescent="0.25">
      <c r="B652" s="5"/>
      <c r="C652" s="5"/>
      <c r="D652" s="5"/>
      <c r="E652" s="5"/>
      <c r="F652" s="5"/>
      <c r="G652" s="5"/>
      <c r="H652" s="5"/>
      <c r="I652" s="5"/>
    </row>
    <row r="653" spans="2:9" x14ac:dyDescent="0.25">
      <c r="B653" s="5"/>
      <c r="C653" s="5"/>
      <c r="D653" s="5"/>
      <c r="E653" s="5"/>
      <c r="F653" s="5"/>
      <c r="G653" s="5"/>
      <c r="H653" s="5"/>
      <c r="I653" s="5"/>
    </row>
    <row r="654" spans="2:9" x14ac:dyDescent="0.25">
      <c r="B654" s="5"/>
      <c r="C654" s="5"/>
      <c r="D654" s="5"/>
      <c r="E654" s="5"/>
      <c r="F654" s="5"/>
      <c r="G654" s="5"/>
      <c r="H654" s="5"/>
      <c r="I654" s="5"/>
    </row>
    <row r="655" spans="2:9" x14ac:dyDescent="0.25">
      <c r="B655" s="5"/>
      <c r="C655" s="5"/>
      <c r="D655" s="5"/>
      <c r="E655" s="5"/>
      <c r="F655" s="5"/>
      <c r="G655" s="5"/>
      <c r="H655" s="5"/>
      <c r="I655" s="5"/>
    </row>
    <row r="656" spans="2:9" x14ac:dyDescent="0.25">
      <c r="B656" s="5"/>
      <c r="C656" s="5"/>
      <c r="D656" s="5"/>
      <c r="E656" s="5"/>
      <c r="F656" s="5"/>
      <c r="G656" s="5"/>
      <c r="H656" s="5"/>
      <c r="I656" s="5"/>
    </row>
    <row r="657" spans="2:9" x14ac:dyDescent="0.25">
      <c r="B657" s="5"/>
      <c r="C657" s="5"/>
      <c r="D657" s="5"/>
      <c r="E657" s="5"/>
      <c r="F657" s="5"/>
      <c r="G657" s="5"/>
      <c r="H657" s="5"/>
      <c r="I657" s="5"/>
    </row>
    <row r="658" spans="2:9" x14ac:dyDescent="0.25">
      <c r="B658" s="5"/>
      <c r="C658" s="5"/>
      <c r="D658" s="5"/>
      <c r="E658" s="5"/>
      <c r="F658" s="5"/>
      <c r="G658" s="5"/>
      <c r="H658" s="5"/>
      <c r="I658" s="5"/>
    </row>
    <row r="659" spans="2:9" x14ac:dyDescent="0.25">
      <c r="B659" s="5"/>
      <c r="C659" s="5"/>
      <c r="D659" s="5"/>
      <c r="E659" s="5"/>
      <c r="F659" s="5"/>
      <c r="G659" s="5"/>
      <c r="H659" s="5"/>
      <c r="I659" s="5"/>
    </row>
    <row r="660" spans="2:9" x14ac:dyDescent="0.25">
      <c r="B660" s="5"/>
      <c r="C660" s="5"/>
      <c r="D660" s="5"/>
      <c r="E660" s="5"/>
      <c r="F660" s="5"/>
      <c r="G660" s="5"/>
      <c r="H660" s="5"/>
      <c r="I660" s="5"/>
    </row>
    <row r="661" spans="2:9" x14ac:dyDescent="0.25">
      <c r="B661" s="5"/>
      <c r="C661" s="5"/>
      <c r="D661" s="5"/>
      <c r="E661" s="5"/>
      <c r="F661" s="5"/>
      <c r="G661" s="5"/>
      <c r="H661" s="5"/>
      <c r="I661" s="5"/>
    </row>
    <row r="662" spans="2:9" x14ac:dyDescent="0.25">
      <c r="B662" s="5"/>
      <c r="C662" s="5"/>
      <c r="D662" s="5"/>
      <c r="E662" s="5"/>
      <c r="F662" s="5"/>
      <c r="G662" s="5"/>
      <c r="H662" s="5"/>
      <c r="I662" s="5"/>
    </row>
    <row r="663" spans="2:9" x14ac:dyDescent="0.25">
      <c r="B663" s="5"/>
      <c r="C663" s="5"/>
      <c r="D663" s="5"/>
      <c r="E663" s="5"/>
      <c r="F663" s="5"/>
      <c r="G663" s="5"/>
      <c r="H663" s="5"/>
      <c r="I663" s="5"/>
    </row>
    <row r="664" spans="2:9" x14ac:dyDescent="0.25">
      <c r="B664" s="5"/>
      <c r="C664" s="5"/>
      <c r="D664" s="5"/>
      <c r="E664" s="5"/>
      <c r="F664" s="5"/>
      <c r="G664" s="5"/>
      <c r="H664" s="5"/>
      <c r="I664" s="5"/>
    </row>
    <row r="665" spans="2:9" x14ac:dyDescent="0.25">
      <c r="B665" s="5"/>
      <c r="C665" s="5"/>
      <c r="D665" s="5"/>
      <c r="E665" s="5"/>
      <c r="F665" s="5"/>
      <c r="G665" s="5"/>
      <c r="H665" s="5"/>
      <c r="I665" s="5"/>
    </row>
    <row r="666" spans="2:9" x14ac:dyDescent="0.25">
      <c r="B666" s="5"/>
      <c r="C666" s="5"/>
      <c r="D666" s="5"/>
      <c r="E666" s="5"/>
      <c r="F666" s="5"/>
      <c r="G666" s="5"/>
      <c r="H666" s="5"/>
      <c r="I666" s="5"/>
    </row>
    <row r="667" spans="2:9" x14ac:dyDescent="0.25">
      <c r="B667" s="5"/>
      <c r="C667" s="5"/>
      <c r="D667" s="5"/>
      <c r="E667" s="5"/>
      <c r="F667" s="5"/>
      <c r="G667" s="5"/>
      <c r="H667" s="5"/>
      <c r="I667" s="5"/>
    </row>
    <row r="668" spans="2:9" x14ac:dyDescent="0.25">
      <c r="B668" s="5"/>
      <c r="C668" s="5"/>
      <c r="D668" s="5"/>
      <c r="E668" s="5"/>
      <c r="F668" s="5"/>
      <c r="G668" s="5"/>
      <c r="H668" s="5"/>
      <c r="I668" s="5"/>
    </row>
    <row r="669" spans="2:9" x14ac:dyDescent="0.25">
      <c r="B669" s="5"/>
      <c r="C669" s="5"/>
      <c r="D669" s="5"/>
      <c r="E669" s="5"/>
      <c r="F669" s="5"/>
      <c r="G669" s="5"/>
      <c r="H669" s="5"/>
      <c r="I669" s="5"/>
    </row>
    <row r="670" spans="2:9" x14ac:dyDescent="0.25">
      <c r="B670" s="5"/>
      <c r="C670" s="5"/>
      <c r="D670" s="5"/>
      <c r="E670" s="5"/>
      <c r="F670" s="5"/>
      <c r="G670" s="5"/>
      <c r="H670" s="5"/>
      <c r="I670" s="5"/>
    </row>
    <row r="671" spans="2:9" x14ac:dyDescent="0.25">
      <c r="B671" s="5"/>
      <c r="C671" s="5"/>
      <c r="D671" s="5"/>
      <c r="E671" s="5"/>
      <c r="F671" s="5"/>
      <c r="G671" s="5"/>
      <c r="H671" s="5"/>
      <c r="I671" s="5"/>
    </row>
    <row r="672" spans="2:9" x14ac:dyDescent="0.25">
      <c r="B672" s="5"/>
      <c r="C672" s="5"/>
      <c r="D672" s="5"/>
      <c r="E672" s="5"/>
      <c r="F672" s="5"/>
      <c r="G672" s="5"/>
      <c r="H672" s="5"/>
      <c r="I672" s="5"/>
    </row>
    <row r="673" spans="2:9" x14ac:dyDescent="0.25">
      <c r="B673" s="5"/>
      <c r="C673" s="5"/>
      <c r="D673" s="5"/>
      <c r="E673" s="5"/>
      <c r="F673" s="5"/>
      <c r="G673" s="5"/>
      <c r="H673" s="5"/>
      <c r="I673" s="5"/>
    </row>
    <row r="674" spans="2:9" x14ac:dyDescent="0.25">
      <c r="B674" s="5"/>
      <c r="C674" s="5"/>
      <c r="D674" s="5"/>
      <c r="E674" s="5"/>
      <c r="F674" s="5"/>
      <c r="G674" s="5"/>
      <c r="H674" s="5"/>
      <c r="I674" s="5"/>
    </row>
    <row r="675" spans="2:9" x14ac:dyDescent="0.25">
      <c r="B675" s="5"/>
      <c r="C675" s="5"/>
      <c r="D675" s="5"/>
      <c r="E675" s="5"/>
      <c r="F675" s="5"/>
      <c r="G675" s="5"/>
      <c r="H675" s="5"/>
      <c r="I675" s="5"/>
    </row>
    <row r="676" spans="2:9" x14ac:dyDescent="0.25">
      <c r="B676" s="5"/>
      <c r="C676" s="5"/>
      <c r="D676" s="5"/>
      <c r="E676" s="5"/>
      <c r="F676" s="5"/>
      <c r="G676" s="5"/>
      <c r="H676" s="5"/>
      <c r="I676" s="5"/>
    </row>
    <row r="677" spans="2:9" x14ac:dyDescent="0.25">
      <c r="B677" s="5"/>
      <c r="C677" s="5"/>
      <c r="D677" s="5"/>
      <c r="E677" s="5"/>
      <c r="F677" s="5"/>
      <c r="G677" s="5"/>
      <c r="H677" s="5"/>
      <c r="I677" s="5"/>
    </row>
    <row r="678" spans="2:9" x14ac:dyDescent="0.25">
      <c r="B678" s="5"/>
      <c r="C678" s="5"/>
      <c r="D678" s="5"/>
      <c r="E678" s="5"/>
      <c r="F678" s="5"/>
      <c r="G678" s="5"/>
      <c r="H678" s="5"/>
      <c r="I678" s="5"/>
    </row>
    <row r="679" spans="2:9" x14ac:dyDescent="0.25">
      <c r="B679" s="5"/>
      <c r="C679" s="5"/>
      <c r="D679" s="5"/>
      <c r="E679" s="5"/>
      <c r="F679" s="5"/>
      <c r="G679" s="5"/>
      <c r="H679" s="5"/>
      <c r="I679" s="5"/>
    </row>
    <row r="680" spans="2:9" x14ac:dyDescent="0.25">
      <c r="B680" s="5"/>
      <c r="C680" s="5"/>
      <c r="D680" s="5"/>
      <c r="E680" s="5"/>
      <c r="F680" s="5"/>
      <c r="G680" s="5"/>
      <c r="H680" s="5"/>
      <c r="I680" s="5"/>
    </row>
    <row r="681" spans="2:9" x14ac:dyDescent="0.25">
      <c r="B681" s="5"/>
      <c r="C681" s="5"/>
      <c r="D681" s="5"/>
      <c r="E681" s="5"/>
      <c r="F681" s="5"/>
      <c r="G681" s="5"/>
      <c r="H681" s="5"/>
      <c r="I681" s="5"/>
    </row>
    <row r="682" spans="2:9" x14ac:dyDescent="0.25">
      <c r="B682" s="5"/>
      <c r="C682" s="5"/>
      <c r="D682" s="5"/>
      <c r="E682" s="5"/>
      <c r="F682" s="5"/>
      <c r="G682" s="5"/>
      <c r="H682" s="5"/>
      <c r="I682" s="5"/>
    </row>
    <row r="683" spans="2:9" x14ac:dyDescent="0.25">
      <c r="B683" s="5"/>
      <c r="C683" s="5"/>
      <c r="D683" s="5"/>
      <c r="E683" s="5"/>
      <c r="F683" s="5"/>
      <c r="G683" s="5"/>
      <c r="H683" s="5"/>
      <c r="I683" s="5"/>
    </row>
    <row r="684" spans="2:9" x14ac:dyDescent="0.25">
      <c r="B684" s="5"/>
      <c r="C684" s="5"/>
      <c r="D684" s="5"/>
      <c r="E684" s="5"/>
      <c r="F684" s="5"/>
      <c r="G684" s="5"/>
      <c r="H684" s="5"/>
      <c r="I684" s="5"/>
    </row>
    <row r="685" spans="2:9" x14ac:dyDescent="0.25">
      <c r="B685" s="5"/>
      <c r="C685" s="5"/>
      <c r="D685" s="5"/>
      <c r="E685" s="5"/>
      <c r="F685" s="5"/>
      <c r="G685" s="5"/>
      <c r="H685" s="5"/>
      <c r="I685" s="5"/>
    </row>
    <row r="686" spans="2:9" x14ac:dyDescent="0.25">
      <c r="B686" s="5"/>
      <c r="C686" s="5"/>
      <c r="D686" s="5"/>
      <c r="E686" s="5"/>
      <c r="F686" s="5"/>
      <c r="G686" s="5"/>
      <c r="H686" s="5"/>
      <c r="I686" s="5"/>
    </row>
    <row r="687" spans="2:9" x14ac:dyDescent="0.25">
      <c r="B687" s="5"/>
      <c r="C687" s="5"/>
      <c r="D687" s="5"/>
      <c r="E687" s="5"/>
      <c r="F687" s="5"/>
      <c r="G687" s="5"/>
      <c r="H687" s="5"/>
      <c r="I687" s="5"/>
    </row>
    <row r="688" spans="2:9" x14ac:dyDescent="0.25">
      <c r="B688" s="5"/>
      <c r="C688" s="5"/>
      <c r="D688" s="5"/>
      <c r="E688" s="5"/>
      <c r="F688" s="5"/>
      <c r="G688" s="5"/>
      <c r="H688" s="5"/>
      <c r="I688" s="5"/>
    </row>
    <row r="689" spans="2:9" x14ac:dyDescent="0.25">
      <c r="B689" s="5"/>
      <c r="C689" s="5"/>
      <c r="D689" s="5"/>
      <c r="E689" s="5"/>
      <c r="F689" s="5"/>
      <c r="G689" s="5"/>
      <c r="H689" s="5"/>
      <c r="I689" s="5"/>
    </row>
    <row r="690" spans="2:9" x14ac:dyDescent="0.25">
      <c r="B690" s="5"/>
      <c r="C690" s="5"/>
      <c r="D690" s="5"/>
      <c r="E690" s="5"/>
      <c r="F690" s="5"/>
      <c r="G690" s="5"/>
      <c r="H690" s="5"/>
      <c r="I690" s="5"/>
    </row>
    <row r="691" spans="2:9" x14ac:dyDescent="0.25">
      <c r="B691" s="5"/>
      <c r="C691" s="5"/>
      <c r="D691" s="5"/>
      <c r="E691" s="5"/>
      <c r="F691" s="5"/>
      <c r="G691" s="5"/>
      <c r="H691" s="5"/>
      <c r="I691" s="5"/>
    </row>
    <row r="692" spans="2:9" x14ac:dyDescent="0.25">
      <c r="B692" s="5"/>
      <c r="C692" s="5"/>
      <c r="D692" s="5"/>
      <c r="E692" s="5"/>
      <c r="F692" s="5"/>
      <c r="G692" s="5"/>
      <c r="H692" s="5"/>
      <c r="I692" s="5"/>
    </row>
    <row r="693" spans="2:9" x14ac:dyDescent="0.25">
      <c r="B693" s="5"/>
      <c r="C693" s="5"/>
      <c r="D693" s="5"/>
      <c r="E693" s="5"/>
      <c r="F693" s="5"/>
      <c r="G693" s="5"/>
      <c r="H693" s="5"/>
      <c r="I693" s="5"/>
    </row>
    <row r="694" spans="2:9" x14ac:dyDescent="0.25">
      <c r="B694" s="5"/>
      <c r="C694" s="5"/>
      <c r="D694" s="5"/>
      <c r="E694" s="5"/>
      <c r="F694" s="5"/>
      <c r="G694" s="5"/>
      <c r="H694" s="5"/>
      <c r="I694" s="5"/>
    </row>
    <row r="695" spans="2:9" x14ac:dyDescent="0.25">
      <c r="B695" s="5"/>
      <c r="C695" s="5"/>
      <c r="D695" s="5"/>
      <c r="E695" s="5"/>
      <c r="F695" s="5"/>
      <c r="G695" s="5"/>
      <c r="H695" s="5"/>
      <c r="I695" s="5"/>
    </row>
    <row r="696" spans="2:9" x14ac:dyDescent="0.25">
      <c r="B696" s="5"/>
      <c r="C696" s="5"/>
      <c r="D696" s="5"/>
      <c r="E696" s="5"/>
      <c r="F696" s="5"/>
      <c r="G696" s="5"/>
      <c r="H696" s="5"/>
      <c r="I696" s="5"/>
    </row>
    <row r="697" spans="2:9" x14ac:dyDescent="0.25">
      <c r="B697" s="5"/>
      <c r="C697" s="5"/>
      <c r="D697" s="5"/>
      <c r="E697" s="5"/>
      <c r="F697" s="5"/>
      <c r="G697" s="5"/>
      <c r="H697" s="5"/>
      <c r="I697" s="5"/>
    </row>
    <row r="698" spans="2:9" x14ac:dyDescent="0.25">
      <c r="B698" s="5"/>
      <c r="C698" s="5"/>
      <c r="D698" s="5"/>
      <c r="E698" s="5"/>
      <c r="F698" s="5"/>
      <c r="G698" s="5"/>
      <c r="H698" s="5"/>
      <c r="I698" s="5"/>
    </row>
    <row r="699" spans="2:9" x14ac:dyDescent="0.25">
      <c r="B699" s="5"/>
      <c r="C699" s="5"/>
      <c r="D699" s="5"/>
      <c r="E699" s="5"/>
      <c r="F699" s="5"/>
      <c r="G699" s="5"/>
      <c r="H699" s="5"/>
      <c r="I699" s="5"/>
    </row>
    <row r="700" spans="2:9" x14ac:dyDescent="0.25">
      <c r="B700" s="5"/>
      <c r="C700" s="5"/>
      <c r="D700" s="5"/>
      <c r="E700" s="5"/>
      <c r="F700" s="5"/>
      <c r="G700" s="5"/>
      <c r="H700" s="5"/>
      <c r="I700" s="5"/>
    </row>
    <row r="701" spans="2:9" x14ac:dyDescent="0.25">
      <c r="B701" s="5"/>
      <c r="C701" s="5"/>
      <c r="D701" s="5"/>
      <c r="E701" s="5"/>
      <c r="F701" s="5"/>
      <c r="G701" s="5"/>
      <c r="H701" s="5"/>
      <c r="I701" s="5"/>
    </row>
    <row r="702" spans="2:9" x14ac:dyDescent="0.25">
      <c r="B702" s="5"/>
      <c r="C702" s="5"/>
      <c r="D702" s="5"/>
      <c r="E702" s="5"/>
      <c r="F702" s="5"/>
      <c r="G702" s="5"/>
      <c r="H702" s="5"/>
      <c r="I702" s="5"/>
    </row>
    <row r="703" spans="2:9" x14ac:dyDescent="0.25">
      <c r="B703" s="5"/>
      <c r="C703" s="5"/>
      <c r="D703" s="5"/>
      <c r="E703" s="5"/>
      <c r="F703" s="5"/>
      <c r="G703" s="5"/>
      <c r="H703" s="5"/>
      <c r="I703" s="5"/>
    </row>
    <row r="704" spans="2:9" x14ac:dyDescent="0.25">
      <c r="B704" s="5"/>
      <c r="C704" s="5"/>
      <c r="D704" s="5"/>
      <c r="E704" s="5"/>
      <c r="F704" s="5"/>
      <c r="G704" s="5"/>
      <c r="H704" s="5"/>
      <c r="I704" s="5"/>
    </row>
    <row r="705" spans="2:9" x14ac:dyDescent="0.25">
      <c r="B705" s="5"/>
      <c r="C705" s="5"/>
      <c r="D705" s="5"/>
      <c r="E705" s="5"/>
      <c r="F705" s="5"/>
      <c r="G705" s="5"/>
      <c r="H705" s="5"/>
      <c r="I705" s="5"/>
    </row>
    <row r="706" spans="2:9" x14ac:dyDescent="0.25">
      <c r="B706" s="5"/>
      <c r="C706" s="5"/>
      <c r="D706" s="5"/>
      <c r="E706" s="5"/>
      <c r="F706" s="5"/>
      <c r="G706" s="5"/>
      <c r="H706" s="5"/>
      <c r="I706" s="5"/>
    </row>
    <row r="707" spans="2:9" x14ac:dyDescent="0.25">
      <c r="B707" s="5"/>
      <c r="C707" s="5"/>
      <c r="D707" s="5"/>
      <c r="E707" s="5"/>
      <c r="F707" s="5"/>
      <c r="G707" s="5"/>
      <c r="H707" s="5"/>
      <c r="I707" s="5"/>
    </row>
    <row r="708" spans="2:9" x14ac:dyDescent="0.25">
      <c r="B708" s="5"/>
      <c r="C708" s="5"/>
      <c r="D708" s="5"/>
      <c r="E708" s="5"/>
      <c r="F708" s="5"/>
      <c r="G708" s="5"/>
      <c r="H708" s="5"/>
      <c r="I708" s="5"/>
    </row>
    <row r="709" spans="2:9" x14ac:dyDescent="0.25">
      <c r="B709" s="5"/>
      <c r="C709" s="5"/>
      <c r="D709" s="5"/>
      <c r="E709" s="5"/>
      <c r="F709" s="5"/>
      <c r="G709" s="5"/>
      <c r="H709" s="5"/>
      <c r="I709" s="5"/>
    </row>
    <row r="710" spans="2:9" x14ac:dyDescent="0.25">
      <c r="B710" s="5"/>
      <c r="C710" s="5"/>
      <c r="D710" s="5"/>
      <c r="E710" s="5"/>
      <c r="F710" s="5"/>
      <c r="G710" s="5"/>
      <c r="H710" s="5"/>
      <c r="I710" s="5"/>
    </row>
    <row r="711" spans="2:9" x14ac:dyDescent="0.25">
      <c r="B711" s="5"/>
      <c r="C711" s="5"/>
      <c r="D711" s="5"/>
      <c r="E711" s="5"/>
      <c r="F711" s="5"/>
      <c r="G711" s="5"/>
      <c r="H711" s="5"/>
      <c r="I711" s="5"/>
    </row>
    <row r="712" spans="2:9" x14ac:dyDescent="0.25">
      <c r="B712" s="5"/>
      <c r="C712" s="5"/>
      <c r="D712" s="5"/>
      <c r="E712" s="5"/>
      <c r="F712" s="5"/>
      <c r="G712" s="5"/>
      <c r="H712" s="5"/>
      <c r="I712" s="5"/>
    </row>
    <row r="713" spans="2:9" x14ac:dyDescent="0.25">
      <c r="B713" s="5"/>
      <c r="C713" s="5"/>
      <c r="D713" s="5"/>
      <c r="E713" s="5"/>
      <c r="F713" s="5"/>
      <c r="G713" s="5"/>
      <c r="H713" s="5"/>
      <c r="I713" s="5"/>
    </row>
    <row r="714" spans="2:9" x14ac:dyDescent="0.25">
      <c r="B714" s="5"/>
      <c r="C714" s="5"/>
      <c r="D714" s="5"/>
      <c r="E714" s="5"/>
      <c r="F714" s="5"/>
      <c r="G714" s="5"/>
      <c r="H714" s="5"/>
      <c r="I714" s="5"/>
    </row>
    <row r="715" spans="2:9" x14ac:dyDescent="0.25">
      <c r="B715" s="5"/>
      <c r="C715" s="5"/>
      <c r="D715" s="5"/>
      <c r="E715" s="5"/>
      <c r="F715" s="5"/>
      <c r="G715" s="5"/>
      <c r="H715" s="5"/>
      <c r="I715" s="5"/>
    </row>
    <row r="716" spans="2:9" x14ac:dyDescent="0.25">
      <c r="B716" s="5"/>
      <c r="C716" s="5"/>
      <c r="D716" s="5"/>
      <c r="E716" s="5"/>
      <c r="F716" s="5"/>
      <c r="G716" s="5"/>
      <c r="H716" s="5"/>
      <c r="I716" s="5"/>
    </row>
    <row r="717" spans="2:9" x14ac:dyDescent="0.25">
      <c r="B717" s="5"/>
      <c r="C717" s="5"/>
      <c r="D717" s="5"/>
      <c r="E717" s="5"/>
      <c r="F717" s="5"/>
      <c r="G717" s="5"/>
      <c r="H717" s="5"/>
      <c r="I717" s="5"/>
    </row>
    <row r="718" spans="2:9" x14ac:dyDescent="0.25">
      <c r="B718" s="5"/>
      <c r="C718" s="5"/>
      <c r="D718" s="5"/>
      <c r="E718" s="5"/>
      <c r="F718" s="5"/>
      <c r="G718" s="5"/>
      <c r="H718" s="5"/>
      <c r="I718" s="5"/>
    </row>
    <row r="719" spans="2:9" x14ac:dyDescent="0.25">
      <c r="B719" s="5"/>
      <c r="C719" s="5"/>
      <c r="D719" s="5"/>
      <c r="E719" s="5"/>
      <c r="F719" s="5"/>
      <c r="G719" s="5"/>
      <c r="H719" s="5"/>
      <c r="I719" s="5"/>
    </row>
    <row r="720" spans="2:9" x14ac:dyDescent="0.25">
      <c r="B720" s="5"/>
      <c r="C720" s="5"/>
      <c r="D720" s="5"/>
      <c r="E720" s="5"/>
      <c r="F720" s="5"/>
      <c r="G720" s="5"/>
      <c r="H720" s="5"/>
      <c r="I720" s="5"/>
    </row>
    <row r="721" spans="2:9" x14ac:dyDescent="0.25">
      <c r="B721" s="5"/>
      <c r="C721" s="5"/>
      <c r="D721" s="5"/>
      <c r="E721" s="5"/>
      <c r="F721" s="5"/>
      <c r="G721" s="5"/>
      <c r="H721" s="5"/>
      <c r="I721" s="5"/>
    </row>
    <row r="722" spans="2:9" x14ac:dyDescent="0.25">
      <c r="B722" s="5"/>
      <c r="C722" s="5"/>
      <c r="D722" s="5"/>
      <c r="E722" s="5"/>
      <c r="F722" s="5"/>
      <c r="G722" s="5"/>
      <c r="H722" s="5"/>
      <c r="I722" s="5"/>
    </row>
    <row r="723" spans="2:9" x14ac:dyDescent="0.25">
      <c r="B723" s="5"/>
      <c r="C723" s="5"/>
      <c r="D723" s="5"/>
      <c r="E723" s="5"/>
      <c r="F723" s="5"/>
      <c r="G723" s="5"/>
      <c r="H723" s="5"/>
      <c r="I723" s="5"/>
    </row>
    <row r="724" spans="2:9" x14ac:dyDescent="0.25">
      <c r="B724" s="5"/>
      <c r="C724" s="5"/>
      <c r="D724" s="5"/>
      <c r="E724" s="5"/>
      <c r="F724" s="5"/>
      <c r="G724" s="5"/>
      <c r="H724" s="5"/>
      <c r="I724" s="5"/>
    </row>
    <row r="725" spans="2:9" x14ac:dyDescent="0.25">
      <c r="B725" s="5"/>
      <c r="C725" s="5"/>
      <c r="D725" s="5"/>
      <c r="E725" s="5"/>
      <c r="F725" s="5"/>
      <c r="G725" s="5"/>
      <c r="H725" s="5"/>
      <c r="I725" s="5"/>
    </row>
    <row r="726" spans="2:9" x14ac:dyDescent="0.25">
      <c r="B726" s="5"/>
      <c r="C726" s="5"/>
      <c r="D726" s="5"/>
      <c r="E726" s="5"/>
      <c r="F726" s="5"/>
      <c r="G726" s="5"/>
      <c r="H726" s="5"/>
      <c r="I726" s="5"/>
    </row>
    <row r="727" spans="2:9" x14ac:dyDescent="0.25">
      <c r="B727" s="5"/>
      <c r="C727" s="5"/>
      <c r="D727" s="5"/>
      <c r="E727" s="5"/>
      <c r="F727" s="5"/>
      <c r="G727" s="5"/>
      <c r="H727" s="5"/>
      <c r="I727" s="5"/>
    </row>
    <row r="728" spans="2:9" x14ac:dyDescent="0.25">
      <c r="B728" s="5"/>
      <c r="C728" s="5"/>
      <c r="D728" s="5"/>
      <c r="E728" s="5"/>
      <c r="F728" s="5"/>
      <c r="G728" s="5"/>
      <c r="H728" s="5"/>
      <c r="I728" s="5"/>
    </row>
    <row r="729" spans="2:9" x14ac:dyDescent="0.25">
      <c r="B729" s="5"/>
      <c r="C729" s="5"/>
      <c r="D729" s="5"/>
      <c r="E729" s="5"/>
      <c r="F729" s="5"/>
      <c r="G729" s="5"/>
      <c r="H729" s="5"/>
      <c r="I729" s="5"/>
    </row>
    <row r="730" spans="2:9" x14ac:dyDescent="0.25">
      <c r="B730" s="5"/>
      <c r="C730" s="5"/>
      <c r="D730" s="5"/>
      <c r="E730" s="5"/>
      <c r="F730" s="5"/>
      <c r="G730" s="5"/>
      <c r="H730" s="5"/>
      <c r="I730" s="5"/>
    </row>
    <row r="731" spans="2:9" x14ac:dyDescent="0.25">
      <c r="B731" s="5"/>
      <c r="C731" s="5"/>
      <c r="D731" s="5"/>
      <c r="E731" s="5"/>
      <c r="F731" s="5"/>
      <c r="G731" s="5"/>
      <c r="H731" s="5"/>
      <c r="I731" s="5"/>
    </row>
    <row r="732" spans="2:9" x14ac:dyDescent="0.25">
      <c r="B732" s="5"/>
      <c r="C732" s="5"/>
      <c r="D732" s="5"/>
      <c r="E732" s="5"/>
      <c r="F732" s="5"/>
      <c r="G732" s="5"/>
      <c r="H732" s="5"/>
      <c r="I732" s="5"/>
    </row>
    <row r="733" spans="2:9" x14ac:dyDescent="0.25">
      <c r="B733" s="5"/>
      <c r="C733" s="5"/>
      <c r="D733" s="5"/>
      <c r="E733" s="5"/>
      <c r="F733" s="5"/>
      <c r="G733" s="5"/>
      <c r="H733" s="5"/>
      <c r="I733" s="5"/>
    </row>
    <row r="734" spans="2:9" x14ac:dyDescent="0.25">
      <c r="B734" s="5"/>
      <c r="C734" s="5"/>
      <c r="D734" s="5"/>
      <c r="E734" s="5"/>
      <c r="F734" s="5"/>
      <c r="G734" s="5"/>
      <c r="H734" s="5"/>
      <c r="I734" s="5"/>
    </row>
    <row r="735" spans="2:9" x14ac:dyDescent="0.25">
      <c r="B735" s="5"/>
      <c r="C735" s="5"/>
      <c r="D735" s="5"/>
      <c r="E735" s="5"/>
      <c r="F735" s="5"/>
      <c r="G735" s="5"/>
      <c r="H735" s="5"/>
      <c r="I735" s="5"/>
    </row>
    <row r="736" spans="2:9" x14ac:dyDescent="0.25">
      <c r="B736" s="5"/>
      <c r="C736" s="5"/>
      <c r="D736" s="5"/>
      <c r="E736" s="5"/>
      <c r="F736" s="5"/>
      <c r="G736" s="5"/>
      <c r="H736" s="5"/>
      <c r="I736" s="5"/>
    </row>
    <row r="737" spans="2:9" x14ac:dyDescent="0.25">
      <c r="B737" s="5"/>
      <c r="C737" s="5"/>
      <c r="D737" s="5"/>
      <c r="E737" s="5"/>
      <c r="F737" s="5"/>
      <c r="G737" s="5"/>
      <c r="H737" s="5"/>
      <c r="I737" s="5"/>
    </row>
    <row r="738" spans="2:9" x14ac:dyDescent="0.25">
      <c r="B738" s="5"/>
      <c r="C738" s="5"/>
      <c r="D738" s="5"/>
      <c r="E738" s="5"/>
      <c r="F738" s="5"/>
      <c r="G738" s="5"/>
      <c r="H738" s="5"/>
      <c r="I738" s="5"/>
    </row>
    <row r="739" spans="2:9" x14ac:dyDescent="0.25">
      <c r="B739" s="5"/>
      <c r="C739" s="5"/>
      <c r="D739" s="5"/>
      <c r="E739" s="5"/>
      <c r="F739" s="5"/>
      <c r="G739" s="5"/>
      <c r="H739" s="5"/>
      <c r="I739" s="5"/>
    </row>
    <row r="740" spans="2:9" x14ac:dyDescent="0.25">
      <c r="B740" s="5"/>
      <c r="C740" s="5"/>
      <c r="D740" s="5"/>
      <c r="E740" s="5"/>
      <c r="F740" s="5"/>
      <c r="G740" s="5"/>
      <c r="H740" s="5"/>
      <c r="I740" s="5"/>
    </row>
    <row r="741" spans="2:9" x14ac:dyDescent="0.25">
      <c r="B741" s="5"/>
      <c r="C741" s="5"/>
      <c r="D741" s="5"/>
      <c r="E741" s="5"/>
      <c r="F741" s="5"/>
      <c r="G741" s="5"/>
      <c r="H741" s="5"/>
      <c r="I741" s="5"/>
    </row>
    <row r="742" spans="2:9" x14ac:dyDescent="0.25">
      <c r="B742" s="5"/>
      <c r="C742" s="5"/>
      <c r="D742" s="5"/>
      <c r="E742" s="5"/>
      <c r="F742" s="5"/>
      <c r="G742" s="5"/>
      <c r="H742" s="5"/>
      <c r="I742" s="5"/>
    </row>
    <row r="743" spans="2:9" x14ac:dyDescent="0.25">
      <c r="B743" s="5"/>
      <c r="C743" s="5"/>
      <c r="D743" s="5"/>
      <c r="E743" s="5"/>
      <c r="F743" s="5"/>
      <c r="G743" s="5"/>
      <c r="H743" s="5"/>
      <c r="I743" s="5"/>
    </row>
    <row r="744" spans="2:9" x14ac:dyDescent="0.25">
      <c r="B744" s="5"/>
      <c r="C744" s="5"/>
      <c r="D744" s="5"/>
      <c r="E744" s="5"/>
      <c r="F744" s="5"/>
      <c r="G744" s="5"/>
      <c r="H744" s="5"/>
      <c r="I744" s="5"/>
    </row>
    <row r="745" spans="2:9" x14ac:dyDescent="0.25">
      <c r="B745" s="5"/>
      <c r="C745" s="5"/>
      <c r="D745" s="5"/>
      <c r="E745" s="5"/>
      <c r="F745" s="5"/>
      <c r="G745" s="5"/>
      <c r="H745" s="5"/>
      <c r="I745" s="5"/>
    </row>
    <row r="746" spans="2:9" x14ac:dyDescent="0.25">
      <c r="B746" s="5"/>
      <c r="C746" s="5"/>
      <c r="D746" s="5"/>
      <c r="E746" s="5"/>
      <c r="F746" s="5"/>
      <c r="G746" s="5"/>
      <c r="H746" s="5"/>
      <c r="I746" s="5"/>
    </row>
    <row r="747" spans="2:9" x14ac:dyDescent="0.25">
      <c r="B747" s="5"/>
      <c r="C747" s="5"/>
      <c r="D747" s="5"/>
      <c r="E747" s="5"/>
      <c r="F747" s="5"/>
      <c r="G747" s="5"/>
      <c r="H747" s="5"/>
      <c r="I747" s="5"/>
    </row>
    <row r="748" spans="2:9" x14ac:dyDescent="0.25">
      <c r="B748" s="5"/>
      <c r="C748" s="5"/>
      <c r="D748" s="5"/>
      <c r="E748" s="5"/>
      <c r="F748" s="5"/>
      <c r="G748" s="5"/>
      <c r="H748" s="5"/>
      <c r="I748" s="5"/>
    </row>
    <row r="749" spans="2:9" x14ac:dyDescent="0.25">
      <c r="B749" s="5"/>
      <c r="C749" s="5"/>
      <c r="D749" s="5"/>
      <c r="E749" s="5"/>
      <c r="F749" s="5"/>
      <c r="G749" s="5"/>
      <c r="H749" s="5"/>
      <c r="I749" s="5"/>
    </row>
    <row r="750" spans="2:9" x14ac:dyDescent="0.25">
      <c r="B750" s="5"/>
      <c r="C750" s="5"/>
      <c r="D750" s="5"/>
      <c r="E750" s="5"/>
      <c r="F750" s="5"/>
      <c r="G750" s="5"/>
      <c r="H750" s="5"/>
      <c r="I750" s="5"/>
    </row>
    <row r="751" spans="2:9" x14ac:dyDescent="0.25">
      <c r="B751" s="5"/>
      <c r="C751" s="5"/>
      <c r="D751" s="5"/>
      <c r="E751" s="5"/>
      <c r="F751" s="5"/>
      <c r="G751" s="5"/>
      <c r="H751" s="5"/>
      <c r="I751" s="5"/>
    </row>
    <row r="752" spans="2:9" x14ac:dyDescent="0.25">
      <c r="B752" s="5"/>
      <c r="C752" s="5"/>
      <c r="D752" s="5"/>
      <c r="E752" s="5"/>
      <c r="F752" s="5"/>
      <c r="G752" s="5"/>
      <c r="H752" s="5"/>
      <c r="I752" s="5"/>
    </row>
    <row r="753" spans="2:9" x14ac:dyDescent="0.25">
      <c r="B753" s="5"/>
      <c r="C753" s="5"/>
      <c r="D753" s="5"/>
      <c r="E753" s="5"/>
      <c r="F753" s="5"/>
      <c r="G753" s="5"/>
      <c r="H753" s="5"/>
      <c r="I753" s="5"/>
    </row>
    <row r="754" spans="2:9" x14ac:dyDescent="0.25">
      <c r="B754" s="5"/>
      <c r="C754" s="5"/>
      <c r="D754" s="5"/>
      <c r="E754" s="5"/>
      <c r="F754" s="5"/>
      <c r="G754" s="5"/>
      <c r="H754" s="5"/>
      <c r="I754" s="5"/>
    </row>
    <row r="755" spans="2:9" x14ac:dyDescent="0.25">
      <c r="B755" s="5"/>
      <c r="C755" s="5"/>
      <c r="D755" s="5"/>
      <c r="E755" s="5"/>
      <c r="F755" s="5"/>
      <c r="G755" s="5"/>
      <c r="H755" s="5"/>
      <c r="I755" s="5"/>
    </row>
    <row r="756" spans="2:9" x14ac:dyDescent="0.25">
      <c r="B756" s="5"/>
      <c r="C756" s="5"/>
      <c r="D756" s="5"/>
      <c r="E756" s="5"/>
      <c r="F756" s="5"/>
      <c r="G756" s="5"/>
      <c r="H756" s="5"/>
      <c r="I756" s="5"/>
    </row>
    <row r="757" spans="2:9" x14ac:dyDescent="0.25">
      <c r="B757" s="5"/>
      <c r="C757" s="5"/>
      <c r="D757" s="5"/>
      <c r="E757" s="5"/>
      <c r="F757" s="5"/>
      <c r="G757" s="5"/>
      <c r="H757" s="5"/>
      <c r="I757" s="5"/>
    </row>
    <row r="758" spans="2:9" x14ac:dyDescent="0.25">
      <c r="B758" s="5"/>
      <c r="C758" s="5"/>
      <c r="D758" s="5"/>
      <c r="E758" s="5"/>
      <c r="F758" s="5"/>
      <c r="G758" s="5"/>
      <c r="H758" s="5"/>
      <c r="I758" s="5"/>
    </row>
    <row r="759" spans="2:9" x14ac:dyDescent="0.25">
      <c r="B759" s="5"/>
      <c r="C759" s="5"/>
      <c r="D759" s="5"/>
      <c r="E759" s="5"/>
      <c r="F759" s="5"/>
      <c r="G759" s="5"/>
      <c r="H759" s="5"/>
      <c r="I759" s="5"/>
    </row>
    <row r="760" spans="2:9" x14ac:dyDescent="0.25">
      <c r="B760" s="5"/>
      <c r="C760" s="5"/>
      <c r="D760" s="5"/>
      <c r="E760" s="5"/>
      <c r="F760" s="5"/>
      <c r="G760" s="5"/>
      <c r="H760" s="5"/>
      <c r="I760" s="5"/>
    </row>
    <row r="761" spans="2:9" x14ac:dyDescent="0.25">
      <c r="B761" s="5"/>
      <c r="C761" s="5"/>
      <c r="D761" s="5"/>
      <c r="E761" s="5"/>
      <c r="F761" s="5"/>
      <c r="G761" s="5"/>
      <c r="H761" s="5"/>
      <c r="I761" s="5"/>
    </row>
    <row r="762" spans="2:9" x14ac:dyDescent="0.25">
      <c r="B762" s="5"/>
      <c r="C762" s="5"/>
      <c r="D762" s="5"/>
      <c r="E762" s="5"/>
      <c r="F762" s="5"/>
      <c r="G762" s="5"/>
      <c r="H762" s="5"/>
      <c r="I762" s="5"/>
    </row>
    <row r="763" spans="2:9" x14ac:dyDescent="0.25">
      <c r="B763" s="5"/>
      <c r="C763" s="5"/>
      <c r="D763" s="5"/>
      <c r="E763" s="5"/>
      <c r="F763" s="5"/>
      <c r="G763" s="5"/>
      <c r="H763" s="5"/>
      <c r="I763" s="5"/>
    </row>
    <row r="764" spans="2:9" x14ac:dyDescent="0.25">
      <c r="B764" s="5"/>
      <c r="C764" s="5"/>
      <c r="D764" s="5"/>
      <c r="E764" s="5"/>
      <c r="F764" s="5"/>
      <c r="G764" s="5"/>
      <c r="H764" s="5"/>
      <c r="I764" s="5"/>
    </row>
    <row r="765" spans="2:9" x14ac:dyDescent="0.25">
      <c r="B765" s="5"/>
      <c r="C765" s="5"/>
      <c r="D765" s="5"/>
      <c r="E765" s="5"/>
      <c r="F765" s="5"/>
      <c r="G765" s="5"/>
      <c r="H765" s="5"/>
      <c r="I765" s="5"/>
    </row>
    <row r="766" spans="2:9" x14ac:dyDescent="0.25">
      <c r="B766" s="5"/>
      <c r="C766" s="5"/>
      <c r="D766" s="5"/>
      <c r="E766" s="5"/>
      <c r="F766" s="5"/>
      <c r="G766" s="5"/>
      <c r="H766" s="5"/>
      <c r="I766" s="5"/>
    </row>
    <row r="767" spans="2:9" x14ac:dyDescent="0.25">
      <c r="B767" s="5"/>
      <c r="C767" s="5"/>
      <c r="D767" s="5"/>
      <c r="E767" s="5"/>
      <c r="F767" s="5"/>
      <c r="G767" s="5"/>
      <c r="H767" s="5"/>
      <c r="I767" s="5"/>
    </row>
    <row r="768" spans="2:9" x14ac:dyDescent="0.25">
      <c r="B768" s="5"/>
      <c r="C768" s="5"/>
      <c r="D768" s="5"/>
      <c r="E768" s="5"/>
      <c r="F768" s="5"/>
      <c r="G768" s="5"/>
      <c r="H768" s="5"/>
      <c r="I768" s="5"/>
    </row>
    <row r="769" spans="2:9" x14ac:dyDescent="0.25">
      <c r="B769" s="5"/>
      <c r="C769" s="5"/>
      <c r="D769" s="5"/>
      <c r="E769" s="5"/>
      <c r="F769" s="5"/>
      <c r="G769" s="5"/>
      <c r="H769" s="5"/>
      <c r="I769" s="5"/>
    </row>
    <row r="770" spans="2:9" x14ac:dyDescent="0.25">
      <c r="B770" s="5"/>
      <c r="C770" s="5"/>
      <c r="D770" s="5"/>
      <c r="E770" s="5"/>
      <c r="F770" s="5"/>
      <c r="G770" s="5"/>
      <c r="H770" s="5"/>
      <c r="I770" s="5"/>
    </row>
    <row r="771" spans="2:9" x14ac:dyDescent="0.25">
      <c r="B771" s="5"/>
      <c r="C771" s="5"/>
      <c r="D771" s="5"/>
      <c r="E771" s="5"/>
      <c r="F771" s="5"/>
      <c r="G771" s="5"/>
      <c r="H771" s="5"/>
      <c r="I771" s="5"/>
    </row>
    <row r="772" spans="2:9" x14ac:dyDescent="0.25">
      <c r="B772" s="5"/>
      <c r="C772" s="5"/>
      <c r="D772" s="5"/>
      <c r="E772" s="5"/>
      <c r="F772" s="5"/>
      <c r="G772" s="5"/>
      <c r="H772" s="5"/>
      <c r="I772" s="5"/>
    </row>
    <row r="773" spans="2:9" x14ac:dyDescent="0.25">
      <c r="B773" s="5"/>
      <c r="C773" s="5"/>
      <c r="D773" s="5"/>
      <c r="E773" s="5"/>
      <c r="F773" s="5"/>
      <c r="G773" s="5"/>
      <c r="H773" s="5"/>
      <c r="I773" s="5"/>
    </row>
    <row r="774" spans="2:9" x14ac:dyDescent="0.25">
      <c r="B774" s="5"/>
      <c r="C774" s="5"/>
      <c r="D774" s="5"/>
      <c r="E774" s="5"/>
      <c r="F774" s="5"/>
      <c r="G774" s="5"/>
      <c r="H774" s="5"/>
      <c r="I774" s="5"/>
    </row>
    <row r="775" spans="2:9" x14ac:dyDescent="0.25">
      <c r="B775" s="5"/>
      <c r="C775" s="5"/>
      <c r="D775" s="5"/>
      <c r="E775" s="5"/>
      <c r="F775" s="5"/>
      <c r="G775" s="5"/>
      <c r="H775" s="5"/>
      <c r="I775" s="5"/>
    </row>
    <row r="776" spans="2:9" x14ac:dyDescent="0.25">
      <c r="B776" s="5"/>
      <c r="C776" s="5"/>
      <c r="D776" s="5"/>
      <c r="E776" s="5"/>
      <c r="F776" s="5"/>
      <c r="G776" s="5"/>
      <c r="H776" s="5"/>
      <c r="I776" s="5"/>
    </row>
    <row r="777" spans="2:9" x14ac:dyDescent="0.25">
      <c r="B777" s="5"/>
      <c r="C777" s="5"/>
      <c r="D777" s="5"/>
      <c r="E777" s="5"/>
      <c r="F777" s="5"/>
      <c r="G777" s="5"/>
      <c r="H777" s="5"/>
      <c r="I777" s="5"/>
    </row>
    <row r="778" spans="2:9" x14ac:dyDescent="0.25">
      <c r="B778" s="5"/>
      <c r="C778" s="5"/>
      <c r="D778" s="5"/>
      <c r="E778" s="5"/>
      <c r="F778" s="5"/>
      <c r="G778" s="5"/>
      <c r="H778" s="5"/>
      <c r="I778" s="5"/>
    </row>
    <row r="779" spans="2:9" x14ac:dyDescent="0.25">
      <c r="B779" s="5"/>
      <c r="C779" s="5"/>
      <c r="D779" s="5"/>
      <c r="E779" s="5"/>
      <c r="F779" s="5"/>
      <c r="G779" s="5"/>
      <c r="H779" s="5"/>
      <c r="I779" s="5"/>
    </row>
    <row r="780" spans="2:9" x14ac:dyDescent="0.25">
      <c r="B780" s="5"/>
      <c r="C780" s="5"/>
      <c r="D780" s="5"/>
      <c r="E780" s="5"/>
      <c r="F780" s="5"/>
      <c r="G780" s="5"/>
      <c r="H780" s="5"/>
      <c r="I780" s="5"/>
    </row>
    <row r="781" spans="2:9" x14ac:dyDescent="0.25">
      <c r="B781" s="5"/>
      <c r="C781" s="5"/>
      <c r="D781" s="5"/>
      <c r="E781" s="5"/>
      <c r="F781" s="5"/>
      <c r="G781" s="5"/>
      <c r="H781" s="5"/>
      <c r="I781" s="5"/>
    </row>
    <row r="782" spans="2:9" x14ac:dyDescent="0.25">
      <c r="B782" s="5"/>
      <c r="C782" s="5"/>
      <c r="D782" s="5"/>
      <c r="E782" s="5"/>
      <c r="F782" s="5"/>
      <c r="G782" s="5"/>
      <c r="H782" s="5"/>
      <c r="I782" s="5"/>
    </row>
    <row r="783" spans="2:9" x14ac:dyDescent="0.25">
      <c r="B783" s="5"/>
      <c r="C783" s="5"/>
      <c r="D783" s="5"/>
      <c r="E783" s="5"/>
      <c r="F783" s="5"/>
      <c r="G783" s="5"/>
      <c r="H783" s="5"/>
      <c r="I783" s="5"/>
    </row>
    <row r="784" spans="2:9" x14ac:dyDescent="0.25">
      <c r="B784" s="5"/>
      <c r="C784" s="5"/>
      <c r="D784" s="5"/>
      <c r="E784" s="5"/>
      <c r="F784" s="5"/>
      <c r="G784" s="5"/>
      <c r="H784" s="5"/>
      <c r="I784" s="5"/>
    </row>
    <row r="785" spans="2:9" x14ac:dyDescent="0.25">
      <c r="B785" s="5"/>
      <c r="C785" s="5"/>
      <c r="D785" s="5"/>
      <c r="E785" s="5"/>
      <c r="F785" s="5"/>
      <c r="G785" s="5"/>
      <c r="H785" s="5"/>
      <c r="I785" s="5"/>
    </row>
    <row r="786" spans="2:9" x14ac:dyDescent="0.25">
      <c r="B786" s="5"/>
      <c r="C786" s="5"/>
      <c r="D786" s="5"/>
      <c r="E786" s="5"/>
      <c r="F786" s="5"/>
      <c r="G786" s="5"/>
      <c r="H786" s="5"/>
      <c r="I786" s="5"/>
    </row>
    <row r="787" spans="2:9" x14ac:dyDescent="0.25">
      <c r="B787" s="5"/>
      <c r="C787" s="5"/>
      <c r="D787" s="5"/>
      <c r="E787" s="5"/>
      <c r="F787" s="5"/>
      <c r="G787" s="5"/>
      <c r="H787" s="5"/>
      <c r="I787" s="5"/>
    </row>
    <row r="788" spans="2:9" x14ac:dyDescent="0.25">
      <c r="B788" s="5"/>
      <c r="C788" s="5"/>
      <c r="D788" s="5"/>
      <c r="E788" s="5"/>
      <c r="F788" s="5"/>
      <c r="G788" s="5"/>
      <c r="H788" s="5"/>
      <c r="I788" s="5"/>
    </row>
    <row r="789" spans="2:9" x14ac:dyDescent="0.25">
      <c r="B789" s="5"/>
      <c r="C789" s="5"/>
      <c r="D789" s="5"/>
      <c r="E789" s="5"/>
      <c r="F789" s="5"/>
      <c r="G789" s="5"/>
      <c r="H789" s="5"/>
      <c r="I789" s="5"/>
    </row>
    <row r="790" spans="2:9" x14ac:dyDescent="0.25">
      <c r="B790" s="5"/>
      <c r="C790" s="5"/>
      <c r="D790" s="5"/>
      <c r="E790" s="5"/>
      <c r="F790" s="5"/>
      <c r="G790" s="5"/>
      <c r="H790" s="5"/>
      <c r="I790" s="5"/>
    </row>
    <row r="791" spans="2:9" x14ac:dyDescent="0.25">
      <c r="B791" s="5"/>
      <c r="C791" s="5"/>
      <c r="D791" s="5"/>
      <c r="E791" s="5"/>
      <c r="F791" s="5"/>
      <c r="G791" s="5"/>
      <c r="H791" s="5"/>
      <c r="I791" s="5"/>
    </row>
    <row r="792" spans="2:9" x14ac:dyDescent="0.25">
      <c r="B792" s="5"/>
      <c r="C792" s="5"/>
      <c r="D792" s="5"/>
      <c r="E792" s="5"/>
      <c r="F792" s="5"/>
      <c r="G792" s="5"/>
      <c r="H792" s="5"/>
      <c r="I792" s="5"/>
    </row>
    <row r="793" spans="2:9" x14ac:dyDescent="0.25">
      <c r="B793" s="5"/>
      <c r="C793" s="5"/>
      <c r="D793" s="5"/>
      <c r="E793" s="5"/>
      <c r="F793" s="5"/>
      <c r="G793" s="5"/>
      <c r="H793" s="5"/>
      <c r="I793" s="5"/>
    </row>
    <row r="794" spans="2:9" x14ac:dyDescent="0.25">
      <c r="B794" s="5"/>
      <c r="C794" s="5"/>
      <c r="D794" s="5"/>
      <c r="E794" s="5"/>
      <c r="F794" s="5"/>
      <c r="G794" s="5"/>
      <c r="H794" s="5"/>
      <c r="I794" s="5"/>
    </row>
    <row r="795" spans="2:9" x14ac:dyDescent="0.25">
      <c r="B795" s="5"/>
      <c r="C795" s="5"/>
      <c r="D795" s="5"/>
      <c r="E795" s="5"/>
      <c r="F795" s="5"/>
      <c r="G795" s="5"/>
      <c r="H795" s="5"/>
      <c r="I795" s="5"/>
    </row>
    <row r="796" spans="2:9" x14ac:dyDescent="0.25">
      <c r="B796" s="5"/>
      <c r="C796" s="5"/>
      <c r="D796" s="5"/>
      <c r="E796" s="5"/>
      <c r="F796" s="5"/>
      <c r="G796" s="5"/>
      <c r="H796" s="5"/>
      <c r="I796" s="5"/>
    </row>
    <row r="797" spans="2:9" x14ac:dyDescent="0.25">
      <c r="B797" s="5"/>
      <c r="C797" s="5"/>
      <c r="D797" s="5"/>
      <c r="E797" s="5"/>
      <c r="F797" s="5"/>
      <c r="G797" s="5"/>
      <c r="H797" s="5"/>
      <c r="I797" s="5"/>
    </row>
    <row r="798" spans="2:9" x14ac:dyDescent="0.25">
      <c r="B798" s="5"/>
      <c r="C798" s="5"/>
      <c r="D798" s="5"/>
      <c r="E798" s="5"/>
      <c r="F798" s="5"/>
      <c r="G798" s="5"/>
      <c r="H798" s="5"/>
      <c r="I798" s="5"/>
    </row>
    <row r="799" spans="2:9" x14ac:dyDescent="0.25">
      <c r="B799" s="5"/>
      <c r="C799" s="5"/>
      <c r="D799" s="5"/>
      <c r="E799" s="5"/>
      <c r="F799" s="5"/>
      <c r="G799" s="5"/>
      <c r="H799" s="5"/>
      <c r="I799" s="5"/>
    </row>
    <row r="800" spans="2:9" x14ac:dyDescent="0.25">
      <c r="B800" s="5"/>
      <c r="C800" s="5"/>
      <c r="D800" s="5"/>
      <c r="E800" s="5"/>
      <c r="F800" s="5"/>
      <c r="G800" s="5"/>
      <c r="H800" s="5"/>
      <c r="I800" s="5"/>
    </row>
    <row r="801" spans="2:9" x14ac:dyDescent="0.25">
      <c r="B801" s="5"/>
      <c r="C801" s="5"/>
      <c r="D801" s="5"/>
      <c r="E801" s="5"/>
      <c r="F801" s="5"/>
      <c r="G801" s="5"/>
      <c r="H801" s="5"/>
      <c r="I801" s="5"/>
    </row>
    <row r="802" spans="2:9" x14ac:dyDescent="0.25">
      <c r="B802" s="5"/>
      <c r="C802" s="5"/>
      <c r="D802" s="5"/>
      <c r="E802" s="5"/>
      <c r="F802" s="5"/>
      <c r="G802" s="5"/>
      <c r="H802" s="5"/>
      <c r="I802" s="5"/>
    </row>
    <row r="803" spans="2:9" x14ac:dyDescent="0.25">
      <c r="B803" s="5"/>
      <c r="C803" s="5"/>
      <c r="D803" s="5"/>
      <c r="E803" s="5"/>
      <c r="F803" s="5"/>
      <c r="G803" s="5"/>
      <c r="H803" s="5"/>
      <c r="I803" s="5"/>
    </row>
    <row r="804" spans="2:9" x14ac:dyDescent="0.25">
      <c r="B804" s="5"/>
      <c r="C804" s="5"/>
      <c r="D804" s="5"/>
      <c r="E804" s="5"/>
      <c r="F804" s="5"/>
      <c r="G804" s="5"/>
      <c r="H804" s="5"/>
      <c r="I804" s="5"/>
    </row>
    <row r="805" spans="2:9" x14ac:dyDescent="0.25">
      <c r="B805" s="5"/>
      <c r="C805" s="5"/>
      <c r="D805" s="5"/>
      <c r="E805" s="5"/>
      <c r="F805" s="5"/>
      <c r="G805" s="5"/>
      <c r="H805" s="5"/>
      <c r="I805" s="5"/>
    </row>
    <row r="806" spans="2:9" x14ac:dyDescent="0.25">
      <c r="B806" s="5"/>
      <c r="C806" s="5"/>
      <c r="D806" s="5"/>
      <c r="E806" s="5"/>
      <c r="F806" s="5"/>
      <c r="G806" s="5"/>
      <c r="H806" s="5"/>
      <c r="I806" s="5"/>
    </row>
    <row r="807" spans="2:9" x14ac:dyDescent="0.25">
      <c r="B807" s="5"/>
      <c r="C807" s="5"/>
      <c r="D807" s="5"/>
      <c r="E807" s="5"/>
      <c r="F807" s="5"/>
      <c r="G807" s="5"/>
      <c r="H807" s="5"/>
      <c r="I807" s="5"/>
    </row>
    <row r="808" spans="2:9" x14ac:dyDescent="0.25">
      <c r="B808" s="5"/>
      <c r="C808" s="5"/>
      <c r="D808" s="5"/>
      <c r="E808" s="5"/>
      <c r="F808" s="5"/>
      <c r="G808" s="5"/>
      <c r="H808" s="5"/>
      <c r="I808" s="5"/>
    </row>
    <row r="809" spans="2:9" x14ac:dyDescent="0.25">
      <c r="B809" s="5"/>
      <c r="C809" s="5"/>
      <c r="D809" s="5"/>
      <c r="E809" s="5"/>
      <c r="F809" s="5"/>
      <c r="G809" s="5"/>
      <c r="H809" s="5"/>
      <c r="I809" s="5"/>
    </row>
    <row r="810" spans="2:9" x14ac:dyDescent="0.25">
      <c r="B810" s="5"/>
      <c r="C810" s="5"/>
      <c r="D810" s="5"/>
      <c r="E810" s="5"/>
      <c r="F810" s="5"/>
      <c r="G810" s="5"/>
      <c r="H810" s="5"/>
      <c r="I810" s="5"/>
    </row>
    <row r="811" spans="2:9" x14ac:dyDescent="0.25">
      <c r="B811" s="5"/>
      <c r="C811" s="5"/>
      <c r="D811" s="5"/>
      <c r="E811" s="5"/>
      <c r="F811" s="5"/>
      <c r="G811" s="5"/>
      <c r="H811" s="5"/>
      <c r="I811" s="5"/>
    </row>
    <row r="812" spans="2:9" x14ac:dyDescent="0.25">
      <c r="B812" s="5"/>
      <c r="C812" s="5"/>
      <c r="D812" s="5"/>
      <c r="E812" s="5"/>
      <c r="F812" s="5"/>
      <c r="G812" s="5"/>
      <c r="H812" s="5"/>
      <c r="I812" s="5"/>
    </row>
    <row r="813" spans="2:9" x14ac:dyDescent="0.25">
      <c r="B813" s="5"/>
      <c r="C813" s="5"/>
      <c r="D813" s="5"/>
      <c r="E813" s="5"/>
      <c r="F813" s="5"/>
      <c r="G813" s="5"/>
      <c r="H813" s="5"/>
      <c r="I813" s="5"/>
    </row>
    <row r="814" spans="2:9" x14ac:dyDescent="0.25">
      <c r="B814" s="5"/>
      <c r="C814" s="5"/>
      <c r="D814" s="5"/>
      <c r="E814" s="5"/>
      <c r="F814" s="5"/>
      <c r="G814" s="5"/>
      <c r="H814" s="5"/>
      <c r="I814" s="5"/>
    </row>
    <row r="815" spans="2:9" x14ac:dyDescent="0.25">
      <c r="B815" s="5"/>
      <c r="C815" s="5"/>
      <c r="D815" s="5"/>
      <c r="E815" s="5"/>
      <c r="F815" s="5"/>
      <c r="G815" s="5"/>
      <c r="H815" s="5"/>
      <c r="I815" s="5"/>
    </row>
    <row r="816" spans="2:9" x14ac:dyDescent="0.25">
      <c r="B816" s="5"/>
      <c r="C816" s="5"/>
      <c r="D816" s="5"/>
      <c r="E816" s="5"/>
      <c r="F816" s="5"/>
      <c r="G816" s="5"/>
      <c r="H816" s="5"/>
      <c r="I816" s="5"/>
    </row>
    <row r="817" spans="2:9" x14ac:dyDescent="0.25">
      <c r="B817" s="5"/>
      <c r="C817" s="5"/>
      <c r="D817" s="5"/>
      <c r="E817" s="5"/>
      <c r="F817" s="5"/>
      <c r="G817" s="5"/>
      <c r="H817" s="5"/>
      <c r="I817" s="5"/>
    </row>
    <row r="818" spans="2:9" x14ac:dyDescent="0.25">
      <c r="B818" s="5"/>
      <c r="C818" s="5"/>
      <c r="D818" s="5"/>
      <c r="E818" s="5"/>
      <c r="F818" s="5"/>
      <c r="G818" s="5"/>
      <c r="H818" s="5"/>
      <c r="I818" s="5"/>
    </row>
    <row r="819" spans="2:9" x14ac:dyDescent="0.25">
      <c r="B819" s="5"/>
      <c r="C819" s="5"/>
      <c r="D819" s="5"/>
      <c r="E819" s="5"/>
      <c r="F819" s="5"/>
      <c r="G819" s="5"/>
      <c r="H819" s="5"/>
      <c r="I819" s="5"/>
    </row>
    <row r="820" spans="2:9" x14ac:dyDescent="0.25">
      <c r="B820" s="5"/>
      <c r="C820" s="5"/>
      <c r="D820" s="5"/>
      <c r="E820" s="5"/>
      <c r="F820" s="5"/>
      <c r="G820" s="5"/>
      <c r="H820" s="5"/>
      <c r="I820" s="5"/>
    </row>
    <row r="821" spans="2:9" x14ac:dyDescent="0.25">
      <c r="B821" s="5"/>
      <c r="C821" s="5"/>
      <c r="D821" s="5"/>
      <c r="E821" s="5"/>
      <c r="F821" s="5"/>
      <c r="G821" s="5"/>
      <c r="H821" s="5"/>
      <c r="I821" s="5"/>
    </row>
    <row r="822" spans="2:9" x14ac:dyDescent="0.25">
      <c r="B822" s="5"/>
      <c r="C822" s="5"/>
      <c r="D822" s="5"/>
      <c r="E822" s="5"/>
      <c r="F822" s="5"/>
      <c r="G822" s="5"/>
      <c r="H822" s="5"/>
      <c r="I822" s="5"/>
    </row>
    <row r="823" spans="2:9" x14ac:dyDescent="0.25">
      <c r="B823" s="5"/>
      <c r="C823" s="5"/>
      <c r="D823" s="5"/>
      <c r="E823" s="5"/>
      <c r="F823" s="5"/>
      <c r="G823" s="5"/>
      <c r="H823" s="5"/>
      <c r="I823" s="5"/>
    </row>
    <row r="824" spans="2:9" x14ac:dyDescent="0.25">
      <c r="B824" s="5"/>
      <c r="C824" s="5"/>
      <c r="D824" s="5"/>
      <c r="E824" s="5"/>
      <c r="F824" s="5"/>
      <c r="G824" s="5"/>
      <c r="H824" s="5"/>
      <c r="I824" s="5"/>
    </row>
    <row r="825" spans="2:9" x14ac:dyDescent="0.25">
      <c r="B825" s="5"/>
      <c r="C825" s="5"/>
      <c r="D825" s="5"/>
      <c r="E825" s="5"/>
      <c r="F825" s="5"/>
      <c r="G825" s="5"/>
      <c r="H825" s="5"/>
      <c r="I825" s="5"/>
    </row>
    <row r="826" spans="2:9" x14ac:dyDescent="0.25">
      <c r="B826" s="5"/>
      <c r="C826" s="5"/>
      <c r="D826" s="5"/>
      <c r="E826" s="5"/>
      <c r="F826" s="5"/>
      <c r="G826" s="5"/>
      <c r="H826" s="5"/>
      <c r="I826" s="5"/>
    </row>
    <row r="827" spans="2:9" x14ac:dyDescent="0.25">
      <c r="B827" s="5"/>
      <c r="C827" s="5"/>
      <c r="D827" s="5"/>
      <c r="E827" s="5"/>
      <c r="F827" s="5"/>
      <c r="G827" s="5"/>
      <c r="H827" s="5"/>
      <c r="I827" s="5"/>
    </row>
    <row r="828" spans="2:9" x14ac:dyDescent="0.25">
      <c r="B828" s="5"/>
      <c r="C828" s="5"/>
      <c r="D828" s="5"/>
      <c r="E828" s="5"/>
      <c r="F828" s="5"/>
      <c r="G828" s="5"/>
      <c r="H828" s="5"/>
      <c r="I828" s="5"/>
    </row>
    <row r="829" spans="2:9" x14ac:dyDescent="0.25">
      <c r="B829" s="5"/>
      <c r="C829" s="5"/>
      <c r="D829" s="5"/>
      <c r="E829" s="5"/>
      <c r="F829" s="5"/>
      <c r="G829" s="5"/>
      <c r="H829" s="5"/>
      <c r="I829" s="5"/>
    </row>
    <row r="830" spans="2:9" x14ac:dyDescent="0.25">
      <c r="B830" s="5"/>
      <c r="C830" s="5"/>
      <c r="D830" s="5"/>
      <c r="E830" s="5"/>
      <c r="F830" s="5"/>
      <c r="G830" s="5"/>
      <c r="H830" s="5"/>
      <c r="I830" s="5"/>
    </row>
    <row r="831" spans="2:9" x14ac:dyDescent="0.25">
      <c r="B831" s="5"/>
      <c r="C831" s="5"/>
      <c r="D831" s="5"/>
      <c r="E831" s="5"/>
      <c r="F831" s="5"/>
      <c r="G831" s="5"/>
      <c r="H831" s="5"/>
      <c r="I831" s="5"/>
    </row>
    <row r="832" spans="2:9" x14ac:dyDescent="0.25">
      <c r="B832" s="5"/>
      <c r="C832" s="5"/>
      <c r="D832" s="5"/>
      <c r="E832" s="5"/>
      <c r="F832" s="5"/>
      <c r="G832" s="5"/>
      <c r="H832" s="5"/>
      <c r="I832" s="5"/>
    </row>
    <row r="833" spans="2:9" x14ac:dyDescent="0.25">
      <c r="B833" s="5"/>
      <c r="C833" s="5"/>
      <c r="D833" s="5"/>
      <c r="E833" s="5"/>
      <c r="F833" s="5"/>
      <c r="G833" s="5"/>
      <c r="H833" s="5"/>
      <c r="I833" s="5"/>
    </row>
    <row r="834" spans="2:9" x14ac:dyDescent="0.25">
      <c r="B834" s="5"/>
      <c r="C834" s="5"/>
      <c r="D834" s="5"/>
      <c r="E834" s="5"/>
      <c r="F834" s="5"/>
      <c r="G834" s="5"/>
      <c r="H834" s="5"/>
      <c r="I834" s="5"/>
    </row>
    <row r="835" spans="2:9" x14ac:dyDescent="0.25">
      <c r="B835" s="5"/>
      <c r="C835" s="5"/>
      <c r="D835" s="5"/>
      <c r="E835" s="5"/>
      <c r="F835" s="5"/>
      <c r="G835" s="5"/>
      <c r="H835" s="5"/>
      <c r="I835" s="5"/>
    </row>
    <row r="836" spans="2:9" x14ac:dyDescent="0.25">
      <c r="B836" s="5"/>
      <c r="C836" s="5"/>
      <c r="D836" s="5"/>
      <c r="E836" s="5"/>
      <c r="F836" s="5"/>
      <c r="G836" s="5"/>
      <c r="H836" s="5"/>
      <c r="I836" s="5"/>
    </row>
    <row r="837" spans="2:9" x14ac:dyDescent="0.25">
      <c r="B837" s="5"/>
      <c r="C837" s="5"/>
      <c r="D837" s="5"/>
      <c r="E837" s="5"/>
      <c r="F837" s="5"/>
      <c r="G837" s="5"/>
      <c r="H837" s="5"/>
      <c r="I837" s="5"/>
    </row>
    <row r="838" spans="2:9" x14ac:dyDescent="0.25">
      <c r="B838" s="5"/>
      <c r="C838" s="5"/>
      <c r="D838" s="5"/>
      <c r="E838" s="5"/>
      <c r="F838" s="5"/>
      <c r="G838" s="5"/>
      <c r="H838" s="5"/>
      <c r="I838" s="5"/>
    </row>
    <row r="839" spans="2:9" x14ac:dyDescent="0.25">
      <c r="B839" s="5"/>
      <c r="C839" s="5"/>
      <c r="D839" s="5"/>
      <c r="E839" s="5"/>
      <c r="F839" s="5"/>
      <c r="G839" s="5"/>
      <c r="H839" s="5"/>
      <c r="I839" s="5"/>
    </row>
    <row r="840" spans="2:9" x14ac:dyDescent="0.25">
      <c r="B840" s="5"/>
      <c r="C840" s="5"/>
      <c r="D840" s="5"/>
      <c r="E840" s="5"/>
      <c r="F840" s="5"/>
      <c r="G840" s="5"/>
      <c r="H840" s="5"/>
      <c r="I840" s="5"/>
    </row>
    <row r="841" spans="2:9" x14ac:dyDescent="0.25">
      <c r="B841" s="5"/>
      <c r="C841" s="5"/>
      <c r="D841" s="5"/>
      <c r="E841" s="5"/>
      <c r="F841" s="5"/>
      <c r="G841" s="5"/>
      <c r="H841" s="5"/>
      <c r="I841" s="5"/>
    </row>
    <row r="842" spans="2:9" x14ac:dyDescent="0.25">
      <c r="B842" s="5"/>
      <c r="C842" s="5"/>
      <c r="D842" s="5"/>
      <c r="E842" s="5"/>
      <c r="F842" s="5"/>
      <c r="G842" s="5"/>
      <c r="H842" s="5"/>
      <c r="I842" s="5"/>
    </row>
    <row r="843" spans="2:9" x14ac:dyDescent="0.25">
      <c r="B843" s="5"/>
      <c r="C843" s="5"/>
      <c r="D843" s="5"/>
      <c r="E843" s="5"/>
      <c r="F843" s="5"/>
      <c r="G843" s="5"/>
      <c r="H843" s="5"/>
      <c r="I843" s="5"/>
    </row>
    <row r="844" spans="2:9" x14ac:dyDescent="0.25">
      <c r="B844" s="5"/>
      <c r="C844" s="5"/>
      <c r="D844" s="5"/>
      <c r="E844" s="5"/>
      <c r="F844" s="5"/>
      <c r="G844" s="5"/>
      <c r="H844" s="5"/>
      <c r="I844" s="5"/>
    </row>
    <row r="845" spans="2:9" x14ac:dyDescent="0.25">
      <c r="B845" s="5"/>
      <c r="C845" s="5"/>
      <c r="D845" s="5"/>
      <c r="E845" s="5"/>
      <c r="F845" s="5"/>
      <c r="G845" s="5"/>
      <c r="H845" s="5"/>
      <c r="I845" s="5"/>
    </row>
    <row r="846" spans="2:9" x14ac:dyDescent="0.25">
      <c r="B846" s="5"/>
      <c r="C846" s="5"/>
      <c r="D846" s="5"/>
      <c r="E846" s="5"/>
      <c r="F846" s="5"/>
      <c r="G846" s="5"/>
      <c r="H846" s="5"/>
      <c r="I846" s="5"/>
    </row>
    <row r="847" spans="2:9" x14ac:dyDescent="0.25">
      <c r="B847" s="5"/>
      <c r="C847" s="5"/>
      <c r="D847" s="5"/>
      <c r="E847" s="5"/>
      <c r="F847" s="5"/>
      <c r="G847" s="5"/>
      <c r="H847" s="5"/>
      <c r="I847" s="5"/>
    </row>
    <row r="848" spans="2:9" x14ac:dyDescent="0.25">
      <c r="B848" s="5"/>
      <c r="C848" s="5"/>
      <c r="D848" s="5"/>
      <c r="E848" s="5"/>
      <c r="F848" s="5"/>
      <c r="G848" s="5"/>
      <c r="H848" s="5"/>
      <c r="I848" s="5"/>
    </row>
    <row r="849" spans="2:9" x14ac:dyDescent="0.25">
      <c r="B849" s="5"/>
      <c r="C849" s="5"/>
      <c r="D849" s="5"/>
      <c r="E849" s="5"/>
      <c r="F849" s="5"/>
      <c r="G849" s="5"/>
      <c r="H849" s="5"/>
      <c r="I849" s="5"/>
    </row>
    <row r="850" spans="2:9" x14ac:dyDescent="0.25">
      <c r="B850" s="5"/>
      <c r="C850" s="5"/>
      <c r="D850" s="5"/>
      <c r="E850" s="5"/>
      <c r="F850" s="5"/>
      <c r="G850" s="5"/>
      <c r="H850" s="5"/>
      <c r="I850" s="5"/>
    </row>
    <row r="851" spans="2:9" x14ac:dyDescent="0.25">
      <c r="B851" s="5"/>
      <c r="C851" s="5"/>
      <c r="D851" s="5"/>
      <c r="E851" s="5"/>
      <c r="F851" s="5"/>
      <c r="G851" s="5"/>
      <c r="H851" s="5"/>
      <c r="I851" s="5"/>
    </row>
    <row r="852" spans="2:9" x14ac:dyDescent="0.25">
      <c r="B852" s="5"/>
      <c r="C852" s="5"/>
      <c r="D852" s="5"/>
      <c r="E852" s="5"/>
      <c r="F852" s="5"/>
      <c r="G852" s="5"/>
      <c r="H852" s="5"/>
      <c r="I852" s="5"/>
    </row>
    <row r="853" spans="2:9" x14ac:dyDescent="0.25">
      <c r="B853" s="5"/>
      <c r="C853" s="5"/>
      <c r="D853" s="5"/>
      <c r="E853" s="5"/>
      <c r="F853" s="5"/>
      <c r="G853" s="5"/>
      <c r="H853" s="5"/>
      <c r="I853" s="5"/>
    </row>
    <row r="854" spans="2:9" x14ac:dyDescent="0.25">
      <c r="B854" s="5"/>
      <c r="C854" s="5"/>
      <c r="D854" s="5"/>
      <c r="E854" s="5"/>
      <c r="F854" s="5"/>
      <c r="G854" s="5"/>
      <c r="H854" s="5"/>
      <c r="I854" s="5"/>
    </row>
    <row r="855" spans="2:9" x14ac:dyDescent="0.25">
      <c r="B855" s="5"/>
      <c r="C855" s="5"/>
      <c r="D855" s="5"/>
      <c r="E855" s="5"/>
      <c r="F855" s="5"/>
      <c r="G855" s="5"/>
      <c r="H855" s="5"/>
      <c r="I855" s="5"/>
    </row>
    <row r="856" spans="2:9" x14ac:dyDescent="0.25">
      <c r="B856" s="5"/>
      <c r="C856" s="5"/>
      <c r="D856" s="5"/>
      <c r="E856" s="5"/>
      <c r="F856" s="5"/>
      <c r="G856" s="5"/>
      <c r="H856" s="5"/>
      <c r="I856" s="5"/>
    </row>
    <row r="857" spans="2:9" x14ac:dyDescent="0.25">
      <c r="B857" s="5"/>
      <c r="C857" s="5"/>
      <c r="D857" s="5"/>
      <c r="E857" s="5"/>
      <c r="F857" s="5"/>
      <c r="G857" s="5"/>
      <c r="H857" s="5"/>
      <c r="I857" s="5"/>
    </row>
    <row r="858" spans="2:9" x14ac:dyDescent="0.25">
      <c r="B858" s="5"/>
      <c r="C858" s="5"/>
      <c r="D858" s="5"/>
      <c r="E858" s="5"/>
      <c r="F858" s="5"/>
      <c r="G858" s="5"/>
      <c r="H858" s="5"/>
      <c r="I858" s="5"/>
    </row>
    <row r="859" spans="2:9" x14ac:dyDescent="0.25">
      <c r="B859" s="5"/>
      <c r="C859" s="5"/>
      <c r="D859" s="5"/>
      <c r="E859" s="5"/>
      <c r="F859" s="5"/>
      <c r="G859" s="5"/>
      <c r="H859" s="5"/>
      <c r="I859" s="5"/>
    </row>
    <row r="860" spans="2:9" x14ac:dyDescent="0.25">
      <c r="B860" s="5"/>
      <c r="C860" s="5"/>
      <c r="D860" s="5"/>
      <c r="E860" s="5"/>
      <c r="F860" s="5"/>
      <c r="G860" s="5"/>
      <c r="H860" s="5"/>
      <c r="I860" s="5"/>
    </row>
    <row r="861" spans="2:9" x14ac:dyDescent="0.25">
      <c r="B861" s="5"/>
      <c r="C861" s="5"/>
      <c r="D861" s="5"/>
      <c r="E861" s="5"/>
      <c r="F861" s="5"/>
      <c r="G861" s="5"/>
      <c r="H861" s="5"/>
      <c r="I861" s="5"/>
    </row>
    <row r="862" spans="2:9" x14ac:dyDescent="0.25">
      <c r="B862" s="5"/>
      <c r="C862" s="5"/>
      <c r="D862" s="5"/>
      <c r="E862" s="5"/>
      <c r="F862" s="5"/>
      <c r="G862" s="5"/>
      <c r="H862" s="5"/>
      <c r="I862" s="5"/>
    </row>
    <row r="863" spans="2:9" x14ac:dyDescent="0.25">
      <c r="B863" s="5"/>
      <c r="C863" s="5"/>
      <c r="D863" s="5"/>
      <c r="E863" s="5"/>
      <c r="F863" s="5"/>
      <c r="G863" s="5"/>
      <c r="H863" s="5"/>
      <c r="I863" s="5"/>
    </row>
    <row r="864" spans="2:9" x14ac:dyDescent="0.25">
      <c r="B864" s="5"/>
      <c r="C864" s="5"/>
      <c r="D864" s="5"/>
      <c r="E864" s="5"/>
      <c r="F864" s="5"/>
      <c r="G864" s="5"/>
      <c r="H864" s="5"/>
      <c r="I864" s="5"/>
    </row>
    <row r="865" spans="2:9" x14ac:dyDescent="0.25">
      <c r="B865" s="5"/>
      <c r="C865" s="5"/>
      <c r="D865" s="5"/>
      <c r="E865" s="5"/>
      <c r="F865" s="5"/>
      <c r="G865" s="5"/>
      <c r="H865" s="5"/>
      <c r="I865" s="5"/>
    </row>
    <row r="866" spans="2:9" x14ac:dyDescent="0.25">
      <c r="B866" s="5"/>
      <c r="C866" s="5"/>
      <c r="D866" s="5"/>
      <c r="E866" s="5"/>
      <c r="F866" s="5"/>
      <c r="G866" s="5"/>
      <c r="H866" s="5"/>
      <c r="I866" s="5"/>
    </row>
    <row r="867" spans="2:9" x14ac:dyDescent="0.25">
      <c r="B867" s="5"/>
      <c r="C867" s="5"/>
      <c r="D867" s="5"/>
      <c r="E867" s="5"/>
      <c r="F867" s="5"/>
      <c r="G867" s="5"/>
      <c r="H867" s="5"/>
      <c r="I867" s="5"/>
    </row>
    <row r="868" spans="2:9" x14ac:dyDescent="0.25">
      <c r="B868" s="5"/>
      <c r="C868" s="5"/>
      <c r="D868" s="5"/>
      <c r="E868" s="5"/>
      <c r="F868" s="5"/>
      <c r="G868" s="5"/>
      <c r="H868" s="5"/>
      <c r="I868" s="5"/>
    </row>
    <row r="869" spans="2:9" x14ac:dyDescent="0.25">
      <c r="B869" s="5"/>
      <c r="C869" s="5"/>
      <c r="D869" s="5"/>
      <c r="E869" s="5"/>
      <c r="F869" s="5"/>
      <c r="G869" s="5"/>
      <c r="H869" s="5"/>
      <c r="I869" s="5"/>
    </row>
    <row r="870" spans="2:9" x14ac:dyDescent="0.25">
      <c r="B870" s="5"/>
      <c r="C870" s="5"/>
      <c r="D870" s="5"/>
      <c r="E870" s="5"/>
      <c r="F870" s="5"/>
      <c r="G870" s="5"/>
      <c r="H870" s="5"/>
      <c r="I870" s="5"/>
    </row>
    <row r="871" spans="2:9" x14ac:dyDescent="0.25">
      <c r="B871" s="5"/>
      <c r="C871" s="5"/>
      <c r="D871" s="5"/>
      <c r="E871" s="5"/>
      <c r="F871" s="5"/>
      <c r="G871" s="5"/>
      <c r="H871" s="5"/>
      <c r="I871" s="5"/>
    </row>
    <row r="872" spans="2:9" x14ac:dyDescent="0.25">
      <c r="B872" s="5"/>
      <c r="C872" s="5"/>
      <c r="D872" s="5"/>
      <c r="E872" s="5"/>
      <c r="F872" s="5"/>
      <c r="G872" s="5"/>
      <c r="H872" s="5"/>
      <c r="I872" s="5"/>
    </row>
    <row r="873" spans="2:9" x14ac:dyDescent="0.25">
      <c r="B873" s="5"/>
      <c r="C873" s="5"/>
      <c r="D873" s="5"/>
      <c r="E873" s="5"/>
      <c r="F873" s="5"/>
      <c r="G873" s="5"/>
      <c r="H873" s="5"/>
      <c r="I873" s="5"/>
    </row>
    <row r="874" spans="2:9" x14ac:dyDescent="0.25">
      <c r="B874" s="5"/>
      <c r="C874" s="5"/>
      <c r="D874" s="5"/>
      <c r="E874" s="5"/>
      <c r="F874" s="5"/>
      <c r="G874" s="5"/>
      <c r="H874" s="5"/>
      <c r="I874" s="5"/>
    </row>
    <row r="875" spans="2:9" x14ac:dyDescent="0.25">
      <c r="B875" s="5"/>
      <c r="C875" s="5"/>
      <c r="D875" s="5"/>
      <c r="E875" s="5"/>
      <c r="F875" s="5"/>
      <c r="G875" s="5"/>
      <c r="H875" s="5"/>
      <c r="I875" s="5"/>
    </row>
    <row r="876" spans="2:9" x14ac:dyDescent="0.25">
      <c r="B876" s="5"/>
      <c r="C876" s="5"/>
      <c r="D876" s="5"/>
      <c r="E876" s="5"/>
      <c r="F876" s="5"/>
      <c r="G876" s="5"/>
      <c r="H876" s="5"/>
      <c r="I876" s="5"/>
    </row>
    <row r="877" spans="2:9" x14ac:dyDescent="0.25">
      <c r="B877" s="5"/>
      <c r="C877" s="5"/>
      <c r="D877" s="5"/>
      <c r="E877" s="5"/>
      <c r="F877" s="5"/>
      <c r="G877" s="5"/>
      <c r="H877" s="5"/>
      <c r="I877" s="5"/>
    </row>
    <row r="878" spans="2:9" x14ac:dyDescent="0.25">
      <c r="B878" s="5"/>
      <c r="C878" s="5"/>
      <c r="D878" s="5"/>
      <c r="E878" s="5"/>
      <c r="F878" s="5"/>
      <c r="G878" s="5"/>
      <c r="H878" s="5"/>
      <c r="I878" s="5"/>
    </row>
    <row r="879" spans="2:9" x14ac:dyDescent="0.25">
      <c r="B879" s="5"/>
      <c r="C879" s="5"/>
      <c r="D879" s="5"/>
      <c r="E879" s="5"/>
      <c r="F879" s="5"/>
      <c r="G879" s="5"/>
      <c r="H879" s="5"/>
      <c r="I879" s="5"/>
    </row>
    <row r="880" spans="2:9" x14ac:dyDescent="0.25">
      <c r="B880" s="5"/>
      <c r="C880" s="5"/>
      <c r="D880" s="5"/>
      <c r="E880" s="5"/>
      <c r="F880" s="5"/>
      <c r="G880" s="5"/>
      <c r="H880" s="5"/>
      <c r="I880" s="5"/>
    </row>
    <row r="881" spans="2:9" x14ac:dyDescent="0.25">
      <c r="B881" s="5"/>
      <c r="C881" s="5"/>
      <c r="D881" s="5"/>
      <c r="E881" s="5"/>
      <c r="F881" s="5"/>
      <c r="G881" s="5"/>
      <c r="H881" s="5"/>
      <c r="I881" s="5"/>
    </row>
    <row r="882" spans="2:9" x14ac:dyDescent="0.25">
      <c r="B882" s="5"/>
      <c r="C882" s="5"/>
      <c r="D882" s="5"/>
      <c r="E882" s="5"/>
      <c r="F882" s="5"/>
      <c r="G882" s="5"/>
      <c r="H882" s="5"/>
      <c r="I882" s="5"/>
    </row>
    <row r="883" spans="2:9" x14ac:dyDescent="0.25">
      <c r="B883" s="5"/>
      <c r="C883" s="5"/>
      <c r="D883" s="5"/>
      <c r="E883" s="5"/>
      <c r="F883" s="5"/>
      <c r="G883" s="5"/>
      <c r="H883" s="5"/>
      <c r="I883" s="5"/>
    </row>
    <row r="884" spans="2:9" x14ac:dyDescent="0.25">
      <c r="B884" s="5"/>
      <c r="C884" s="5"/>
      <c r="D884" s="5"/>
      <c r="E884" s="5"/>
      <c r="F884" s="5"/>
      <c r="G884" s="5"/>
      <c r="H884" s="5"/>
      <c r="I884" s="5"/>
    </row>
    <row r="885" spans="2:9" x14ac:dyDescent="0.25">
      <c r="B885" s="5"/>
      <c r="C885" s="5"/>
      <c r="D885" s="5"/>
      <c r="E885" s="5"/>
      <c r="F885" s="5"/>
      <c r="G885" s="5"/>
      <c r="H885" s="5"/>
      <c r="I885" s="5"/>
    </row>
    <row r="886" spans="2:9" x14ac:dyDescent="0.25">
      <c r="B886" s="5"/>
      <c r="C886" s="5"/>
      <c r="D886" s="5"/>
      <c r="E886" s="5"/>
      <c r="F886" s="5"/>
      <c r="G886" s="5"/>
      <c r="H886" s="5"/>
      <c r="I886" s="5"/>
    </row>
    <row r="887" spans="2:9" x14ac:dyDescent="0.25">
      <c r="B887" s="5"/>
      <c r="C887" s="5"/>
      <c r="D887" s="5"/>
      <c r="E887" s="5"/>
      <c r="F887" s="5"/>
      <c r="G887" s="5"/>
      <c r="H887" s="5"/>
      <c r="I887" s="5"/>
    </row>
    <row r="888" spans="2:9" x14ac:dyDescent="0.25">
      <c r="B888" s="5"/>
      <c r="C888" s="5"/>
      <c r="D888" s="5"/>
      <c r="E888" s="5"/>
      <c r="F888" s="5"/>
      <c r="G888" s="5"/>
      <c r="H888" s="5"/>
      <c r="I888" s="5"/>
    </row>
    <row r="889" spans="2:9" x14ac:dyDescent="0.25">
      <c r="B889" s="5"/>
      <c r="C889" s="5"/>
      <c r="D889" s="5"/>
      <c r="E889" s="5"/>
      <c r="F889" s="5"/>
      <c r="G889" s="5"/>
      <c r="H889" s="5"/>
      <c r="I889" s="5"/>
    </row>
    <row r="890" spans="2:9" x14ac:dyDescent="0.25">
      <c r="B890" s="5"/>
      <c r="C890" s="5"/>
      <c r="D890" s="5"/>
      <c r="E890" s="5"/>
      <c r="F890" s="5"/>
      <c r="G890" s="5"/>
      <c r="H890" s="5"/>
      <c r="I890" s="5"/>
    </row>
    <row r="891" spans="2:9" x14ac:dyDescent="0.25">
      <c r="B891" s="5"/>
      <c r="C891" s="5"/>
      <c r="D891" s="5"/>
      <c r="E891" s="5"/>
      <c r="F891" s="5"/>
      <c r="G891" s="5"/>
      <c r="H891" s="5"/>
      <c r="I891" s="5"/>
    </row>
    <row r="892" spans="2:9" x14ac:dyDescent="0.25">
      <c r="B892" s="5"/>
      <c r="C892" s="5"/>
      <c r="D892" s="5"/>
      <c r="E892" s="5"/>
      <c r="F892" s="5"/>
      <c r="G892" s="5"/>
      <c r="H892" s="5"/>
      <c r="I892" s="5"/>
    </row>
    <row r="893" spans="2:9" x14ac:dyDescent="0.25">
      <c r="B893" s="5"/>
      <c r="C893" s="5"/>
      <c r="D893" s="5"/>
      <c r="E893" s="5"/>
      <c r="F893" s="5"/>
      <c r="G893" s="5"/>
      <c r="H893" s="5"/>
      <c r="I893" s="5"/>
    </row>
    <row r="894" spans="2:9" x14ac:dyDescent="0.25">
      <c r="B894" s="5"/>
      <c r="C894" s="5"/>
      <c r="D894" s="5"/>
      <c r="E894" s="5"/>
      <c r="F894" s="5"/>
      <c r="G894" s="5"/>
      <c r="H894" s="5"/>
      <c r="I894" s="5"/>
    </row>
    <row r="895" spans="2:9" x14ac:dyDescent="0.25">
      <c r="B895" s="5"/>
      <c r="C895" s="5"/>
      <c r="D895" s="5"/>
      <c r="E895" s="5"/>
      <c r="F895" s="5"/>
      <c r="G895" s="5"/>
      <c r="H895" s="5"/>
      <c r="I895" s="5"/>
    </row>
    <row r="896" spans="2:9" x14ac:dyDescent="0.25">
      <c r="B896" s="5"/>
      <c r="C896" s="5"/>
      <c r="D896" s="5"/>
      <c r="E896" s="5"/>
      <c r="F896" s="5"/>
      <c r="G896" s="5"/>
      <c r="H896" s="5"/>
      <c r="I896" s="5"/>
    </row>
    <row r="897" spans="2:9" x14ac:dyDescent="0.25">
      <c r="B897" s="5"/>
      <c r="C897" s="5"/>
      <c r="D897" s="5"/>
      <c r="E897" s="5"/>
      <c r="F897" s="5"/>
      <c r="G897" s="5"/>
      <c r="H897" s="5"/>
      <c r="I897" s="5"/>
    </row>
    <row r="898" spans="2:9" x14ac:dyDescent="0.25">
      <c r="B898" s="5"/>
      <c r="C898" s="5"/>
      <c r="D898" s="5"/>
      <c r="E898" s="5"/>
      <c r="F898" s="5"/>
      <c r="G898" s="5"/>
      <c r="H898" s="5"/>
      <c r="I898" s="5"/>
    </row>
    <row r="899" spans="2:9" x14ac:dyDescent="0.25">
      <c r="B899" s="5"/>
      <c r="C899" s="5"/>
      <c r="D899" s="5"/>
      <c r="E899" s="5"/>
      <c r="F899" s="5"/>
      <c r="G899" s="5"/>
      <c r="H899" s="5"/>
      <c r="I899" s="5"/>
    </row>
    <row r="900" spans="2:9" x14ac:dyDescent="0.25">
      <c r="B900" s="5"/>
      <c r="C900" s="5"/>
      <c r="D900" s="5"/>
      <c r="E900" s="5"/>
      <c r="F900" s="5"/>
      <c r="G900" s="5"/>
      <c r="H900" s="5"/>
      <c r="I900" s="5"/>
    </row>
    <row r="901" spans="2:9" x14ac:dyDescent="0.25">
      <c r="B901" s="5"/>
      <c r="C901" s="5"/>
      <c r="D901" s="5"/>
      <c r="E901" s="5"/>
      <c r="F901" s="5"/>
      <c r="G901" s="5"/>
      <c r="H901" s="5"/>
      <c r="I901" s="5"/>
    </row>
    <row r="902" spans="2:9" x14ac:dyDescent="0.25">
      <c r="B902" s="5"/>
      <c r="C902" s="5"/>
      <c r="D902" s="5"/>
      <c r="E902" s="5"/>
      <c r="F902" s="5"/>
      <c r="G902" s="5"/>
      <c r="H902" s="5"/>
      <c r="I902" s="5"/>
    </row>
    <row r="903" spans="2:9" x14ac:dyDescent="0.25">
      <c r="B903" s="5"/>
      <c r="C903" s="5"/>
      <c r="D903" s="5"/>
      <c r="E903" s="5"/>
      <c r="F903" s="5"/>
      <c r="G903" s="5"/>
      <c r="H903" s="5"/>
      <c r="I903" s="5"/>
    </row>
    <row r="904" spans="2:9" x14ac:dyDescent="0.25">
      <c r="B904" s="5"/>
      <c r="C904" s="5"/>
      <c r="D904" s="5"/>
      <c r="E904" s="5"/>
      <c r="F904" s="5"/>
      <c r="G904" s="5"/>
      <c r="H904" s="5"/>
      <c r="I904" s="5"/>
    </row>
    <row r="905" spans="2:9" x14ac:dyDescent="0.25">
      <c r="B905" s="5"/>
      <c r="C905" s="5"/>
      <c r="D905" s="5"/>
      <c r="E905" s="5"/>
      <c r="F905" s="5"/>
      <c r="G905" s="5"/>
      <c r="H905" s="5"/>
      <c r="I905" s="5"/>
    </row>
    <row r="906" spans="2:9" x14ac:dyDescent="0.25">
      <c r="B906" s="5"/>
      <c r="C906" s="5"/>
      <c r="D906" s="5"/>
      <c r="E906" s="5"/>
      <c r="F906" s="5"/>
      <c r="G906" s="5"/>
      <c r="H906" s="5"/>
      <c r="I906" s="5"/>
    </row>
    <row r="907" spans="2:9" x14ac:dyDescent="0.25">
      <c r="B907" s="5"/>
      <c r="C907" s="5"/>
      <c r="D907" s="5"/>
      <c r="E907" s="5"/>
      <c r="F907" s="5"/>
      <c r="G907" s="5"/>
      <c r="H907" s="5"/>
      <c r="I907" s="5"/>
    </row>
    <row r="908" spans="2:9" x14ac:dyDescent="0.25">
      <c r="B908" s="5"/>
      <c r="C908" s="5"/>
      <c r="D908" s="5"/>
      <c r="E908" s="5"/>
      <c r="F908" s="5"/>
      <c r="G908" s="5"/>
      <c r="H908" s="5"/>
      <c r="I908" s="5"/>
    </row>
    <row r="909" spans="2:9" x14ac:dyDescent="0.25">
      <c r="B909" s="5"/>
      <c r="C909" s="5"/>
      <c r="D909" s="5"/>
      <c r="E909" s="5"/>
      <c r="F909" s="5"/>
      <c r="G909" s="5"/>
      <c r="H909" s="5"/>
      <c r="I909" s="5"/>
    </row>
    <row r="910" spans="2:9" x14ac:dyDescent="0.25">
      <c r="B910" s="5"/>
      <c r="C910" s="5"/>
      <c r="D910" s="5"/>
      <c r="E910" s="5"/>
      <c r="F910" s="5"/>
      <c r="G910" s="5"/>
      <c r="H910" s="5"/>
      <c r="I910" s="5"/>
    </row>
    <row r="911" spans="2:9" x14ac:dyDescent="0.25">
      <c r="B911" s="5"/>
      <c r="C911" s="5"/>
      <c r="D911" s="5"/>
      <c r="E911" s="5"/>
      <c r="F911" s="5"/>
      <c r="G911" s="5"/>
      <c r="H911" s="5"/>
      <c r="I911" s="5"/>
    </row>
    <row r="912" spans="2:9" x14ac:dyDescent="0.25">
      <c r="B912" s="5"/>
      <c r="C912" s="5"/>
      <c r="D912" s="5"/>
      <c r="E912" s="5"/>
      <c r="F912" s="5"/>
      <c r="G912" s="5"/>
      <c r="H912" s="5"/>
      <c r="I912" s="5"/>
    </row>
    <row r="913" spans="2:9" x14ac:dyDescent="0.25">
      <c r="B913" s="5"/>
      <c r="C913" s="5"/>
      <c r="D913" s="5"/>
      <c r="E913" s="5"/>
      <c r="F913" s="5"/>
      <c r="G913" s="5"/>
      <c r="H913" s="5"/>
      <c r="I913" s="5"/>
    </row>
    <row r="914" spans="2:9" x14ac:dyDescent="0.25">
      <c r="B914" s="5"/>
      <c r="C914" s="5"/>
      <c r="D914" s="5"/>
      <c r="E914" s="5"/>
      <c r="F914" s="5"/>
      <c r="G914" s="5"/>
      <c r="H914" s="5"/>
      <c r="I914" s="5"/>
    </row>
    <row r="915" spans="2:9" x14ac:dyDescent="0.25">
      <c r="B915" s="5"/>
      <c r="C915" s="5"/>
      <c r="D915" s="5"/>
      <c r="E915" s="5"/>
      <c r="F915" s="5"/>
      <c r="G915" s="5"/>
      <c r="H915" s="5"/>
      <c r="I915" s="5"/>
    </row>
    <row r="916" spans="2:9" x14ac:dyDescent="0.25">
      <c r="B916" s="5"/>
      <c r="C916" s="5"/>
      <c r="D916" s="5"/>
      <c r="E916" s="5"/>
      <c r="F916" s="5"/>
      <c r="G916" s="5"/>
      <c r="H916" s="5"/>
      <c r="I916" s="5"/>
    </row>
    <row r="917" spans="2:9" x14ac:dyDescent="0.25">
      <c r="B917" s="5"/>
      <c r="C917" s="5"/>
      <c r="D917" s="5"/>
      <c r="E917" s="5"/>
      <c r="F917" s="5"/>
      <c r="G917" s="5"/>
      <c r="H917" s="5"/>
      <c r="I917" s="5"/>
    </row>
    <row r="918" spans="2:9" x14ac:dyDescent="0.25">
      <c r="B918" s="5"/>
      <c r="C918" s="5"/>
      <c r="D918" s="5"/>
      <c r="E918" s="5"/>
      <c r="F918" s="5"/>
      <c r="G918" s="5"/>
      <c r="H918" s="5"/>
      <c r="I918" s="5"/>
    </row>
    <row r="919" spans="2:9" x14ac:dyDescent="0.25">
      <c r="B919" s="5"/>
      <c r="C919" s="5"/>
      <c r="D919" s="5"/>
      <c r="E919" s="5"/>
      <c r="F919" s="5"/>
      <c r="G919" s="5"/>
      <c r="H919" s="5"/>
      <c r="I919" s="5"/>
    </row>
    <row r="920" spans="2:9" x14ac:dyDescent="0.25">
      <c r="B920" s="5"/>
      <c r="C920" s="5"/>
      <c r="D920" s="5"/>
      <c r="E920" s="5"/>
      <c r="F920" s="5"/>
      <c r="G920" s="5"/>
      <c r="H920" s="5"/>
      <c r="I920" s="5"/>
    </row>
    <row r="921" spans="2:9" x14ac:dyDescent="0.25">
      <c r="B921" s="5"/>
      <c r="C921" s="5"/>
      <c r="D921" s="5"/>
      <c r="E921" s="5"/>
      <c r="F921" s="5"/>
      <c r="G921" s="5"/>
      <c r="H921" s="5"/>
      <c r="I921" s="5"/>
    </row>
    <row r="922" spans="2:9" x14ac:dyDescent="0.25">
      <c r="B922" s="5"/>
      <c r="C922" s="5"/>
      <c r="D922" s="5"/>
      <c r="E922" s="5"/>
      <c r="F922" s="5"/>
      <c r="G922" s="5"/>
      <c r="H922" s="5"/>
      <c r="I922" s="5"/>
    </row>
    <row r="923" spans="2:9" x14ac:dyDescent="0.25">
      <c r="B923" s="5"/>
      <c r="C923" s="5"/>
      <c r="D923" s="5"/>
      <c r="E923" s="5"/>
      <c r="F923" s="5"/>
      <c r="G923" s="5"/>
      <c r="H923" s="5"/>
      <c r="I923" s="5"/>
    </row>
    <row r="924" spans="2:9" x14ac:dyDescent="0.25">
      <c r="B924" s="5"/>
      <c r="C924" s="5"/>
      <c r="D924" s="5"/>
      <c r="E924" s="5"/>
      <c r="F924" s="5"/>
      <c r="G924" s="5"/>
      <c r="H924" s="5"/>
      <c r="I924" s="5"/>
    </row>
    <row r="925" spans="2:9" x14ac:dyDescent="0.25">
      <c r="B925" s="5"/>
      <c r="C925" s="5"/>
      <c r="D925" s="5"/>
      <c r="E925" s="5"/>
      <c r="F925" s="5"/>
      <c r="G925" s="5"/>
      <c r="H925" s="5"/>
      <c r="I925" s="5"/>
    </row>
    <row r="926" spans="2:9" x14ac:dyDescent="0.25">
      <c r="B926" s="5"/>
      <c r="C926" s="5"/>
      <c r="D926" s="5"/>
      <c r="E926" s="5"/>
      <c r="F926" s="5"/>
      <c r="G926" s="5"/>
      <c r="H926" s="5"/>
      <c r="I926" s="5"/>
    </row>
    <row r="927" spans="2:9" x14ac:dyDescent="0.25">
      <c r="B927" s="5"/>
      <c r="C927" s="5"/>
      <c r="D927" s="5"/>
      <c r="E927" s="5"/>
      <c r="F927" s="5"/>
      <c r="G927" s="5"/>
      <c r="H927" s="5"/>
      <c r="I927" s="5"/>
    </row>
    <row r="928" spans="2:9" x14ac:dyDescent="0.25">
      <c r="B928" s="5"/>
      <c r="C928" s="5"/>
      <c r="D928" s="5"/>
      <c r="E928" s="5"/>
      <c r="F928" s="5"/>
      <c r="G928" s="5"/>
      <c r="H928" s="5"/>
      <c r="I928" s="5"/>
    </row>
    <row r="929" spans="2:9" x14ac:dyDescent="0.25">
      <c r="B929" s="5"/>
      <c r="C929" s="5"/>
      <c r="D929" s="5"/>
      <c r="E929" s="5"/>
      <c r="F929" s="5"/>
      <c r="G929" s="5"/>
      <c r="H929" s="5"/>
      <c r="I929" s="5"/>
    </row>
    <row r="930" spans="2:9" x14ac:dyDescent="0.25">
      <c r="B930" s="5"/>
      <c r="C930" s="5"/>
      <c r="D930" s="5"/>
      <c r="E930" s="5"/>
      <c r="F930" s="5"/>
      <c r="G930" s="5"/>
      <c r="H930" s="5"/>
      <c r="I930" s="5"/>
    </row>
    <row r="931" spans="2:9" x14ac:dyDescent="0.25">
      <c r="B931" s="5"/>
      <c r="C931" s="5"/>
      <c r="D931" s="5"/>
      <c r="E931" s="5"/>
      <c r="F931" s="5"/>
      <c r="G931" s="5"/>
      <c r="H931" s="5"/>
      <c r="I931" s="5"/>
    </row>
    <row r="932" spans="2:9" x14ac:dyDescent="0.25">
      <c r="B932" s="5"/>
      <c r="C932" s="5"/>
      <c r="D932" s="5"/>
      <c r="E932" s="5"/>
      <c r="F932" s="5"/>
      <c r="G932" s="5"/>
      <c r="H932" s="5"/>
      <c r="I932" s="5"/>
    </row>
    <row r="933" spans="2:9" x14ac:dyDescent="0.25">
      <c r="B933" s="5"/>
      <c r="C933" s="5"/>
      <c r="D933" s="5"/>
      <c r="E933" s="5"/>
      <c r="F933" s="5"/>
      <c r="G933" s="5"/>
      <c r="H933" s="5"/>
      <c r="I933" s="5"/>
    </row>
    <row r="934" spans="2:9" x14ac:dyDescent="0.25">
      <c r="B934" s="5"/>
      <c r="C934" s="5"/>
      <c r="D934" s="5"/>
      <c r="E934" s="5"/>
      <c r="F934" s="5"/>
      <c r="G934" s="5"/>
      <c r="H934" s="5"/>
      <c r="I934" s="5"/>
    </row>
    <row r="935" spans="2:9" x14ac:dyDescent="0.25">
      <c r="B935" s="5"/>
      <c r="C935" s="5"/>
      <c r="D935" s="5"/>
      <c r="E935" s="5"/>
      <c r="F935" s="5"/>
      <c r="G935" s="5"/>
      <c r="H935" s="5"/>
      <c r="I935" s="5"/>
    </row>
    <row r="936" spans="2:9" x14ac:dyDescent="0.25">
      <c r="B936" s="5"/>
      <c r="C936" s="5"/>
      <c r="D936" s="5"/>
      <c r="E936" s="5"/>
      <c r="F936" s="5"/>
      <c r="G936" s="5"/>
      <c r="H936" s="5"/>
      <c r="I936" s="5"/>
    </row>
    <row r="937" spans="2:9" x14ac:dyDescent="0.25">
      <c r="B937" s="5"/>
      <c r="C937" s="5"/>
      <c r="D937" s="5"/>
      <c r="E937" s="5"/>
      <c r="F937" s="5"/>
      <c r="G937" s="5"/>
      <c r="H937" s="5"/>
      <c r="I937" s="5"/>
    </row>
    <row r="938" spans="2:9" x14ac:dyDescent="0.25">
      <c r="B938" s="5"/>
      <c r="C938" s="5"/>
      <c r="D938" s="5"/>
      <c r="E938" s="5"/>
      <c r="F938" s="5"/>
      <c r="G938" s="5"/>
      <c r="H938" s="5"/>
      <c r="I938" s="5"/>
    </row>
    <row r="939" spans="2:9" x14ac:dyDescent="0.25">
      <c r="B939" s="5"/>
      <c r="C939" s="5"/>
      <c r="D939" s="5"/>
      <c r="E939" s="5"/>
      <c r="F939" s="5"/>
      <c r="G939" s="5"/>
      <c r="H939" s="5"/>
      <c r="I939" s="5"/>
    </row>
    <row r="940" spans="2:9" x14ac:dyDescent="0.25">
      <c r="B940" s="5"/>
      <c r="C940" s="5"/>
      <c r="D940" s="5"/>
      <c r="E940" s="5"/>
      <c r="F940" s="5"/>
      <c r="G940" s="5"/>
      <c r="H940" s="5"/>
      <c r="I940" s="5"/>
    </row>
    <row r="941" spans="2:9" x14ac:dyDescent="0.25">
      <c r="B941" s="5"/>
      <c r="C941" s="5"/>
      <c r="D941" s="5"/>
      <c r="E941" s="5"/>
      <c r="F941" s="5"/>
      <c r="G941" s="5"/>
      <c r="H941" s="5"/>
      <c r="I941" s="5"/>
    </row>
    <row r="942" spans="2:9" x14ac:dyDescent="0.25">
      <c r="B942" s="5"/>
      <c r="C942" s="5"/>
      <c r="D942" s="5"/>
      <c r="E942" s="5"/>
      <c r="F942" s="5"/>
      <c r="G942" s="5"/>
      <c r="H942" s="5"/>
      <c r="I942" s="5"/>
    </row>
    <row r="943" spans="2:9" x14ac:dyDescent="0.25">
      <c r="B943" s="5"/>
      <c r="C943" s="5"/>
      <c r="D943" s="5"/>
      <c r="E943" s="5"/>
      <c r="F943" s="5"/>
      <c r="G943" s="5"/>
      <c r="H943" s="5"/>
      <c r="I943" s="5"/>
    </row>
    <row r="944" spans="2:9" x14ac:dyDescent="0.25">
      <c r="B944" s="5"/>
      <c r="C944" s="5"/>
      <c r="D944" s="5"/>
      <c r="E944" s="5"/>
      <c r="F944" s="5"/>
      <c r="G944" s="5"/>
      <c r="H944" s="5"/>
      <c r="I944" s="5"/>
    </row>
    <row r="945" spans="2:9" x14ac:dyDescent="0.25">
      <c r="B945" s="5"/>
      <c r="C945" s="5"/>
      <c r="D945" s="5"/>
      <c r="E945" s="5"/>
      <c r="F945" s="5"/>
      <c r="G945" s="5"/>
      <c r="H945" s="5"/>
      <c r="I945" s="5"/>
    </row>
    <row r="946" spans="2:9" x14ac:dyDescent="0.25">
      <c r="B946" s="5"/>
      <c r="C946" s="5"/>
      <c r="D946" s="5"/>
      <c r="E946" s="5"/>
      <c r="F946" s="5"/>
      <c r="G946" s="5"/>
      <c r="H946" s="5"/>
      <c r="I946" s="5"/>
    </row>
    <row r="947" spans="2:9" x14ac:dyDescent="0.25">
      <c r="B947" s="5"/>
      <c r="C947" s="5"/>
      <c r="D947" s="5"/>
      <c r="E947" s="5"/>
      <c r="F947" s="5"/>
      <c r="G947" s="5"/>
      <c r="H947" s="5"/>
      <c r="I947" s="5"/>
    </row>
    <row r="948" spans="2:9" x14ac:dyDescent="0.25">
      <c r="B948" s="5"/>
      <c r="C948" s="5"/>
      <c r="D948" s="5"/>
      <c r="E948" s="5"/>
      <c r="F948" s="5"/>
      <c r="G948" s="5"/>
      <c r="H948" s="5"/>
      <c r="I948" s="5"/>
    </row>
    <row r="949" spans="2:9" x14ac:dyDescent="0.25">
      <c r="B949" s="5"/>
      <c r="C949" s="5"/>
      <c r="D949" s="5"/>
      <c r="E949" s="5"/>
      <c r="F949" s="5"/>
      <c r="G949" s="5"/>
      <c r="H949" s="5"/>
      <c r="I949" s="5"/>
    </row>
    <row r="950" spans="2:9" x14ac:dyDescent="0.25">
      <c r="B950" s="5"/>
      <c r="C950" s="5"/>
      <c r="D950" s="5"/>
      <c r="E950" s="5"/>
      <c r="F950" s="5"/>
      <c r="G950" s="5"/>
      <c r="H950" s="5"/>
      <c r="I950" s="5"/>
    </row>
    <row r="951" spans="2:9" x14ac:dyDescent="0.25">
      <c r="B951" s="5"/>
      <c r="C951" s="5"/>
      <c r="D951" s="5"/>
      <c r="E951" s="5"/>
      <c r="F951" s="5"/>
      <c r="G951" s="5"/>
      <c r="H951" s="5"/>
      <c r="I951" s="5"/>
    </row>
    <row r="952" spans="2:9" x14ac:dyDescent="0.25">
      <c r="B952" s="5"/>
      <c r="C952" s="5"/>
      <c r="D952" s="5"/>
      <c r="E952" s="5"/>
      <c r="F952" s="5"/>
      <c r="G952" s="5"/>
      <c r="H952" s="5"/>
      <c r="I952" s="5"/>
    </row>
    <row r="953" spans="2:9" x14ac:dyDescent="0.25">
      <c r="B953" s="5"/>
      <c r="C953" s="5"/>
      <c r="D953" s="5"/>
      <c r="E953" s="5"/>
      <c r="F953" s="5"/>
      <c r="G953" s="5"/>
      <c r="H953" s="5"/>
      <c r="I953" s="5"/>
    </row>
    <row r="954" spans="2:9" x14ac:dyDescent="0.25">
      <c r="B954" s="5"/>
      <c r="C954" s="5"/>
      <c r="D954" s="5"/>
      <c r="E954" s="5"/>
      <c r="F954" s="5"/>
      <c r="G954" s="5"/>
      <c r="H954" s="5"/>
      <c r="I954" s="5"/>
    </row>
    <row r="955" spans="2:9" x14ac:dyDescent="0.25">
      <c r="B955" s="5"/>
      <c r="C955" s="5"/>
      <c r="D955" s="5"/>
      <c r="E955" s="5"/>
      <c r="F955" s="5"/>
      <c r="G955" s="5"/>
      <c r="H955" s="5"/>
      <c r="I955" s="5"/>
    </row>
    <row r="956" spans="2:9" x14ac:dyDescent="0.25">
      <c r="B956" s="5"/>
      <c r="C956" s="5"/>
      <c r="D956" s="5"/>
      <c r="E956" s="5"/>
      <c r="F956" s="5"/>
      <c r="G956" s="5"/>
      <c r="H956" s="5"/>
      <c r="I956" s="5"/>
    </row>
    <row r="957" spans="2:9" x14ac:dyDescent="0.25">
      <c r="B957" s="5"/>
      <c r="C957" s="5"/>
      <c r="D957" s="5"/>
      <c r="E957" s="5"/>
      <c r="F957" s="5"/>
      <c r="G957" s="5"/>
      <c r="H957" s="5"/>
      <c r="I957" s="5"/>
    </row>
    <row r="958" spans="2:9" x14ac:dyDescent="0.25">
      <c r="B958" s="5"/>
      <c r="C958" s="5"/>
      <c r="D958" s="5"/>
      <c r="E958" s="5"/>
      <c r="F958" s="5"/>
      <c r="G958" s="5"/>
      <c r="H958" s="5"/>
      <c r="I958" s="5"/>
    </row>
    <row r="959" spans="2:9" x14ac:dyDescent="0.25">
      <c r="B959" s="5"/>
      <c r="C959" s="5"/>
      <c r="D959" s="5"/>
      <c r="E959" s="5"/>
      <c r="F959" s="5"/>
      <c r="G959" s="5"/>
      <c r="H959" s="5"/>
      <c r="I959" s="5"/>
    </row>
    <row r="960" spans="2:9" x14ac:dyDescent="0.25">
      <c r="B960" s="5"/>
      <c r="C960" s="5"/>
      <c r="D960" s="5"/>
      <c r="E960" s="5"/>
      <c r="F960" s="5"/>
      <c r="G960" s="5"/>
      <c r="H960" s="5"/>
      <c r="I960" s="5"/>
    </row>
    <row r="961" spans="2:9" x14ac:dyDescent="0.25">
      <c r="B961" s="5"/>
      <c r="C961" s="5"/>
      <c r="D961" s="5"/>
      <c r="E961" s="5"/>
      <c r="F961" s="5"/>
      <c r="G961" s="5"/>
      <c r="H961" s="5"/>
      <c r="I961" s="5"/>
    </row>
    <row r="962" spans="2:9" x14ac:dyDescent="0.25">
      <c r="B962" s="5"/>
      <c r="C962" s="5"/>
      <c r="D962" s="5"/>
      <c r="E962" s="5"/>
      <c r="F962" s="5"/>
      <c r="G962" s="5"/>
      <c r="H962" s="5"/>
      <c r="I962" s="5"/>
    </row>
    <row r="963" spans="2:9" x14ac:dyDescent="0.25">
      <c r="B963" s="5"/>
      <c r="C963" s="5"/>
      <c r="D963" s="5"/>
      <c r="E963" s="5"/>
      <c r="F963" s="5"/>
      <c r="G963" s="5"/>
      <c r="H963" s="5"/>
      <c r="I963" s="5"/>
    </row>
    <row r="964" spans="2:9" x14ac:dyDescent="0.25">
      <c r="B964" s="5"/>
      <c r="C964" s="5"/>
      <c r="D964" s="5"/>
      <c r="E964" s="5"/>
      <c r="F964" s="5"/>
      <c r="G964" s="5"/>
      <c r="H964" s="5"/>
      <c r="I964" s="5"/>
    </row>
    <row r="965" spans="2:9" x14ac:dyDescent="0.25">
      <c r="B965" s="5"/>
      <c r="C965" s="5"/>
      <c r="D965" s="5"/>
      <c r="E965" s="5"/>
      <c r="F965" s="5"/>
      <c r="G965" s="5"/>
      <c r="H965" s="5"/>
      <c r="I965" s="5"/>
    </row>
    <row r="966" spans="2:9" x14ac:dyDescent="0.25">
      <c r="B966" s="5"/>
      <c r="C966" s="5"/>
      <c r="D966" s="5"/>
      <c r="E966" s="5"/>
      <c r="F966" s="5"/>
      <c r="G966" s="5"/>
      <c r="H966" s="5"/>
      <c r="I966" s="5"/>
    </row>
    <row r="967" spans="2:9" x14ac:dyDescent="0.25">
      <c r="B967" s="5"/>
      <c r="C967" s="5"/>
      <c r="D967" s="5"/>
      <c r="E967" s="5"/>
      <c r="F967" s="5"/>
      <c r="G967" s="5"/>
      <c r="H967" s="5"/>
      <c r="I967" s="5"/>
    </row>
    <row r="968" spans="2:9" x14ac:dyDescent="0.25">
      <c r="B968" s="5"/>
      <c r="C968" s="5"/>
      <c r="D968" s="5"/>
      <c r="E968" s="5"/>
      <c r="F968" s="5"/>
      <c r="G968" s="5"/>
      <c r="H968" s="5"/>
      <c r="I968" s="5"/>
    </row>
    <row r="969" spans="2:9" x14ac:dyDescent="0.25">
      <c r="B969" s="5"/>
      <c r="C969" s="5"/>
      <c r="D969" s="5"/>
      <c r="E969" s="5"/>
      <c r="F969" s="5"/>
      <c r="G969" s="5"/>
      <c r="H969" s="5"/>
      <c r="I969" s="5"/>
    </row>
    <row r="970" spans="2:9" x14ac:dyDescent="0.25">
      <c r="B970" s="5"/>
      <c r="C970" s="5"/>
      <c r="D970" s="5"/>
      <c r="E970" s="5"/>
      <c r="F970" s="5"/>
      <c r="G970" s="5"/>
      <c r="H970" s="5"/>
      <c r="I970" s="5"/>
    </row>
    <row r="971" spans="2:9" x14ac:dyDescent="0.25">
      <c r="B971" s="5"/>
      <c r="C971" s="5"/>
      <c r="D971" s="5"/>
      <c r="E971" s="5"/>
      <c r="F971" s="5"/>
      <c r="G971" s="5"/>
      <c r="H971" s="5"/>
      <c r="I971" s="5"/>
    </row>
    <row r="972" spans="2:9" x14ac:dyDescent="0.25">
      <c r="B972" s="5"/>
      <c r="C972" s="5"/>
      <c r="D972" s="5"/>
      <c r="E972" s="5"/>
      <c r="F972" s="5"/>
      <c r="G972" s="5"/>
      <c r="H972" s="5"/>
      <c r="I972" s="5"/>
    </row>
    <row r="973" spans="2:9" x14ac:dyDescent="0.25">
      <c r="B973" s="5"/>
      <c r="C973" s="5"/>
      <c r="D973" s="5"/>
      <c r="E973" s="5"/>
      <c r="F973" s="5"/>
      <c r="G973" s="5"/>
      <c r="H973" s="5"/>
      <c r="I973" s="5"/>
    </row>
    <row r="974" spans="2:9" x14ac:dyDescent="0.25">
      <c r="B974" s="5"/>
      <c r="C974" s="5"/>
      <c r="D974" s="5"/>
      <c r="E974" s="5"/>
      <c r="F974" s="5"/>
      <c r="G974" s="5"/>
      <c r="H974" s="5"/>
      <c r="I974" s="5"/>
    </row>
    <row r="975" spans="2:9" x14ac:dyDescent="0.25">
      <c r="B975" s="5"/>
      <c r="C975" s="5"/>
      <c r="D975" s="5"/>
      <c r="E975" s="5"/>
      <c r="F975" s="5"/>
      <c r="G975" s="5"/>
      <c r="H975" s="5"/>
      <c r="I975" s="5"/>
    </row>
    <row r="976" spans="2:9" x14ac:dyDescent="0.25">
      <c r="B976" s="5"/>
      <c r="C976" s="5"/>
      <c r="D976" s="5"/>
      <c r="E976" s="5"/>
      <c r="F976" s="5"/>
      <c r="G976" s="5"/>
      <c r="H976" s="5"/>
      <c r="I976" s="5"/>
    </row>
    <row r="977" spans="2:9" x14ac:dyDescent="0.25">
      <c r="B977" s="5"/>
      <c r="C977" s="5"/>
      <c r="D977" s="5"/>
      <c r="E977" s="5"/>
      <c r="F977" s="5"/>
      <c r="G977" s="5"/>
      <c r="H977" s="5"/>
      <c r="I977" s="5"/>
    </row>
    <row r="978" spans="2:9" x14ac:dyDescent="0.25">
      <c r="B978" s="5"/>
      <c r="C978" s="5"/>
      <c r="D978" s="5"/>
      <c r="E978" s="5"/>
      <c r="F978" s="5"/>
      <c r="G978" s="5"/>
      <c r="H978" s="5"/>
      <c r="I978" s="5"/>
    </row>
    <row r="979" spans="2:9" x14ac:dyDescent="0.25">
      <c r="B979" s="5"/>
      <c r="C979" s="5"/>
      <c r="D979" s="5"/>
      <c r="E979" s="5"/>
      <c r="F979" s="5"/>
      <c r="G979" s="5"/>
      <c r="H979" s="5"/>
      <c r="I979" s="5"/>
    </row>
    <row r="980" spans="2:9" x14ac:dyDescent="0.25">
      <c r="B980" s="5"/>
      <c r="C980" s="5"/>
      <c r="D980" s="5"/>
      <c r="E980" s="5"/>
      <c r="F980" s="5"/>
      <c r="G980" s="5"/>
      <c r="H980" s="5"/>
      <c r="I980" s="5"/>
    </row>
    <row r="981" spans="2:9" x14ac:dyDescent="0.25">
      <c r="B981" s="5"/>
      <c r="C981" s="5"/>
      <c r="D981" s="5"/>
      <c r="E981" s="5"/>
      <c r="F981" s="5"/>
      <c r="G981" s="5"/>
      <c r="H981" s="5"/>
      <c r="I981" s="5"/>
    </row>
    <row r="982" spans="2:9" x14ac:dyDescent="0.25">
      <c r="B982" s="5"/>
      <c r="C982" s="5"/>
      <c r="D982" s="5"/>
      <c r="E982" s="5"/>
      <c r="F982" s="5"/>
      <c r="G982" s="5"/>
      <c r="H982" s="5"/>
      <c r="I982" s="5"/>
    </row>
    <row r="983" spans="2:9" x14ac:dyDescent="0.25">
      <c r="B983" s="5"/>
      <c r="C983" s="5"/>
      <c r="D983" s="5"/>
      <c r="E983" s="5"/>
      <c r="F983" s="5"/>
      <c r="G983" s="5"/>
      <c r="H983" s="5"/>
      <c r="I983" s="5"/>
    </row>
    <row r="984" spans="2:9" x14ac:dyDescent="0.25">
      <c r="B984" s="5"/>
      <c r="C984" s="5"/>
      <c r="D984" s="5"/>
      <c r="E984" s="5"/>
      <c r="F984" s="5"/>
      <c r="G984" s="5"/>
      <c r="H984" s="5"/>
      <c r="I984" s="5"/>
    </row>
    <row r="985" spans="2:9" x14ac:dyDescent="0.25">
      <c r="B985" s="5"/>
      <c r="C985" s="5"/>
      <c r="D985" s="5"/>
      <c r="E985" s="5"/>
      <c r="F985" s="5"/>
      <c r="G985" s="5"/>
      <c r="H985" s="5"/>
      <c r="I985" s="5"/>
    </row>
    <row r="986" spans="2:9" x14ac:dyDescent="0.25">
      <c r="B986" s="5"/>
      <c r="C986" s="5"/>
      <c r="D986" s="5"/>
      <c r="E986" s="5"/>
      <c r="F986" s="5"/>
      <c r="G986" s="5"/>
      <c r="H986" s="5"/>
      <c r="I986" s="5"/>
    </row>
    <row r="987" spans="2:9" x14ac:dyDescent="0.25">
      <c r="B987" s="5"/>
      <c r="C987" s="5"/>
      <c r="D987" s="5"/>
      <c r="E987" s="5"/>
      <c r="F987" s="5"/>
      <c r="G987" s="5"/>
      <c r="H987" s="5"/>
      <c r="I987" s="5"/>
    </row>
    <row r="988" spans="2:9" x14ac:dyDescent="0.25">
      <c r="B988" s="5"/>
      <c r="C988" s="5"/>
      <c r="D988" s="5"/>
      <c r="E988" s="5"/>
      <c r="F988" s="5"/>
      <c r="G988" s="5"/>
      <c r="H988" s="5"/>
      <c r="I988" s="5"/>
    </row>
    <row r="989" spans="2:9" x14ac:dyDescent="0.25">
      <c r="B989" s="5"/>
      <c r="C989" s="5"/>
      <c r="D989" s="5"/>
      <c r="E989" s="5"/>
      <c r="F989" s="5"/>
      <c r="G989" s="5"/>
      <c r="H989" s="5"/>
      <c r="I989" s="5"/>
    </row>
    <row r="990" spans="2:9" x14ac:dyDescent="0.25">
      <c r="B990" s="5"/>
      <c r="C990" s="5"/>
      <c r="D990" s="5"/>
      <c r="E990" s="5"/>
      <c r="F990" s="5"/>
      <c r="G990" s="5"/>
      <c r="H990" s="5"/>
      <c r="I990" s="5"/>
    </row>
    <row r="991" spans="2:9" x14ac:dyDescent="0.25">
      <c r="B991" s="5"/>
      <c r="C991" s="5"/>
      <c r="D991" s="5"/>
      <c r="E991" s="5"/>
      <c r="F991" s="5"/>
      <c r="G991" s="5"/>
      <c r="H991" s="5"/>
      <c r="I991" s="5"/>
    </row>
    <row r="992" spans="2:9" x14ac:dyDescent="0.25">
      <c r="B992" s="5"/>
      <c r="C992" s="5"/>
      <c r="D992" s="5"/>
      <c r="E992" s="5"/>
      <c r="F992" s="5"/>
      <c r="G992" s="5"/>
      <c r="H992" s="5"/>
      <c r="I992" s="5"/>
    </row>
    <row r="993" spans="2:9" x14ac:dyDescent="0.25">
      <c r="B993" s="5"/>
      <c r="C993" s="5"/>
      <c r="D993" s="5"/>
      <c r="E993" s="5"/>
      <c r="F993" s="5"/>
      <c r="G993" s="5"/>
      <c r="H993" s="5"/>
      <c r="I993" s="5"/>
    </row>
    <row r="994" spans="2:9" x14ac:dyDescent="0.25">
      <c r="B994" s="5"/>
      <c r="C994" s="5"/>
      <c r="D994" s="5"/>
      <c r="E994" s="5"/>
      <c r="F994" s="5"/>
      <c r="G994" s="5"/>
      <c r="H994" s="5"/>
      <c r="I994" s="5"/>
    </row>
    <row r="995" spans="2:9" x14ac:dyDescent="0.25">
      <c r="B995" s="5"/>
      <c r="C995" s="5"/>
      <c r="D995" s="5"/>
      <c r="E995" s="5"/>
      <c r="F995" s="5"/>
      <c r="G995" s="5"/>
      <c r="H995" s="5"/>
      <c r="I995" s="5"/>
    </row>
    <row r="996" spans="2:9" x14ac:dyDescent="0.25">
      <c r="B996" s="5"/>
      <c r="C996" s="5"/>
      <c r="D996" s="5"/>
      <c r="E996" s="5"/>
      <c r="F996" s="5"/>
      <c r="G996" s="5"/>
      <c r="H996" s="5"/>
      <c r="I996" s="5"/>
    </row>
    <row r="997" spans="2:9" x14ac:dyDescent="0.25">
      <c r="B997" s="5"/>
      <c r="C997" s="5"/>
      <c r="D997" s="5"/>
      <c r="E997" s="5"/>
      <c r="F997" s="5"/>
      <c r="G997" s="5"/>
      <c r="H997" s="5"/>
      <c r="I997" s="5"/>
    </row>
    <row r="998" spans="2:9" x14ac:dyDescent="0.25">
      <c r="B998" s="5"/>
      <c r="C998" s="5"/>
      <c r="D998" s="5"/>
      <c r="E998" s="5"/>
      <c r="F998" s="5"/>
      <c r="G998" s="5"/>
      <c r="H998" s="5"/>
      <c r="I998" s="5"/>
    </row>
    <row r="999" spans="2:9" x14ac:dyDescent="0.25">
      <c r="B999" s="5"/>
      <c r="C999" s="5"/>
      <c r="D999" s="5"/>
      <c r="E999" s="5"/>
      <c r="F999" s="5"/>
      <c r="G999" s="5"/>
      <c r="H999" s="5"/>
      <c r="I999" s="5"/>
    </row>
    <row r="1000" spans="2:9" x14ac:dyDescent="0.25">
      <c r="B1000" s="5"/>
      <c r="C1000" s="5"/>
      <c r="D1000" s="5"/>
      <c r="E1000" s="5"/>
      <c r="F1000" s="5"/>
      <c r="G1000" s="5"/>
      <c r="H1000" s="5"/>
      <c r="I1000" s="5"/>
    </row>
    <row r="1001" spans="2:9" x14ac:dyDescent="0.25">
      <c r="B1001" s="5"/>
      <c r="C1001" s="5"/>
      <c r="D1001" s="5"/>
      <c r="E1001" s="5"/>
      <c r="F1001" s="5"/>
      <c r="G1001" s="5"/>
      <c r="H1001" s="5"/>
      <c r="I1001" s="5"/>
    </row>
    <row r="1002" spans="2:9" x14ac:dyDescent="0.25">
      <c r="B1002" s="5"/>
      <c r="C1002" s="5"/>
      <c r="D1002" s="5"/>
      <c r="E1002" s="5"/>
      <c r="F1002" s="5"/>
      <c r="G1002" s="5"/>
      <c r="H1002" s="5"/>
      <c r="I1002" s="5"/>
    </row>
    <row r="1003" spans="2:9" x14ac:dyDescent="0.25">
      <c r="B1003" s="5"/>
      <c r="C1003" s="5"/>
      <c r="D1003" s="5"/>
      <c r="E1003" s="5"/>
      <c r="F1003" s="5"/>
      <c r="G1003" s="5"/>
      <c r="H1003" s="5"/>
      <c r="I1003" s="5"/>
    </row>
    <row r="1004" spans="2:9" x14ac:dyDescent="0.25">
      <c r="B1004" s="5"/>
      <c r="C1004" s="5"/>
      <c r="D1004" s="5"/>
      <c r="E1004" s="5"/>
      <c r="F1004" s="5"/>
      <c r="G1004" s="5"/>
      <c r="H1004" s="5"/>
      <c r="I1004" s="5"/>
    </row>
    <row r="1005" spans="2:9" x14ac:dyDescent="0.25">
      <c r="B1005" s="5"/>
      <c r="C1005" s="5"/>
      <c r="D1005" s="5"/>
      <c r="E1005" s="5"/>
      <c r="F1005" s="5"/>
      <c r="G1005" s="5"/>
      <c r="H1005" s="5"/>
      <c r="I1005" s="5"/>
    </row>
    <row r="1006" spans="2:9" x14ac:dyDescent="0.25">
      <c r="B1006" s="5"/>
      <c r="C1006" s="5"/>
      <c r="D1006" s="5"/>
      <c r="E1006" s="5"/>
      <c r="F1006" s="5"/>
      <c r="G1006" s="5"/>
      <c r="H1006" s="5"/>
      <c r="I1006" s="5"/>
    </row>
    <row r="1007" spans="2:9" x14ac:dyDescent="0.25">
      <c r="B1007" s="5"/>
      <c r="C1007" s="5"/>
      <c r="D1007" s="5"/>
      <c r="E1007" s="5"/>
      <c r="F1007" s="5"/>
      <c r="G1007" s="5"/>
      <c r="H1007" s="5"/>
      <c r="I1007" s="5"/>
    </row>
    <row r="1008" spans="2:9" x14ac:dyDescent="0.25">
      <c r="B1008" s="5"/>
      <c r="C1008" s="5"/>
      <c r="D1008" s="5"/>
      <c r="E1008" s="5"/>
      <c r="F1008" s="5"/>
      <c r="G1008" s="5"/>
      <c r="H1008" s="5"/>
      <c r="I1008" s="5"/>
    </row>
    <row r="1009" spans="2:9" x14ac:dyDescent="0.25">
      <c r="B1009" s="5"/>
      <c r="C1009" s="5"/>
      <c r="D1009" s="5"/>
      <c r="E1009" s="5"/>
      <c r="F1009" s="5"/>
      <c r="G1009" s="5"/>
      <c r="H1009" s="5"/>
      <c r="I1009" s="5"/>
    </row>
    <row r="1010" spans="2:9" x14ac:dyDescent="0.25">
      <c r="B1010" s="5"/>
      <c r="C1010" s="5"/>
      <c r="D1010" s="5"/>
      <c r="E1010" s="5"/>
      <c r="F1010" s="5"/>
      <c r="G1010" s="5"/>
      <c r="H1010" s="5"/>
      <c r="I1010" s="5"/>
    </row>
    <row r="1011" spans="2:9" x14ac:dyDescent="0.25">
      <c r="B1011" s="5"/>
      <c r="C1011" s="5"/>
      <c r="D1011" s="5"/>
      <c r="E1011" s="5"/>
      <c r="F1011" s="5"/>
      <c r="G1011" s="5"/>
      <c r="H1011" s="5"/>
      <c r="I1011" s="5"/>
    </row>
    <row r="1012" spans="2:9" x14ac:dyDescent="0.25">
      <c r="B1012" s="5"/>
      <c r="C1012" s="5"/>
      <c r="D1012" s="5"/>
      <c r="E1012" s="5"/>
      <c r="F1012" s="5"/>
      <c r="G1012" s="5"/>
      <c r="H1012" s="5"/>
      <c r="I1012" s="5"/>
    </row>
    <row r="1013" spans="2:9" x14ac:dyDescent="0.25">
      <c r="B1013" s="5"/>
      <c r="C1013" s="5"/>
      <c r="D1013" s="5"/>
      <c r="E1013" s="5"/>
      <c r="F1013" s="5"/>
      <c r="G1013" s="5"/>
      <c r="H1013" s="5"/>
      <c r="I1013" s="5"/>
    </row>
    <row r="1014" spans="2:9" x14ac:dyDescent="0.25">
      <c r="B1014" s="5"/>
      <c r="C1014" s="5"/>
      <c r="D1014" s="5"/>
      <c r="E1014" s="5"/>
      <c r="F1014" s="5"/>
      <c r="G1014" s="5"/>
      <c r="H1014" s="5"/>
      <c r="I1014" s="5"/>
    </row>
    <row r="1015" spans="2:9" x14ac:dyDescent="0.25">
      <c r="B1015" s="5"/>
      <c r="C1015" s="5"/>
      <c r="D1015" s="5"/>
      <c r="E1015" s="5"/>
      <c r="F1015" s="5"/>
      <c r="G1015" s="5"/>
      <c r="H1015" s="5"/>
      <c r="I1015" s="5"/>
    </row>
    <row r="1016" spans="2:9" x14ac:dyDescent="0.25">
      <c r="B1016" s="5"/>
      <c r="C1016" s="5"/>
      <c r="D1016" s="5"/>
      <c r="E1016" s="5"/>
      <c r="F1016" s="5"/>
      <c r="G1016" s="5"/>
      <c r="H1016" s="5"/>
      <c r="I1016" s="5"/>
    </row>
    <row r="1017" spans="2:9" x14ac:dyDescent="0.25">
      <c r="B1017" s="5"/>
      <c r="C1017" s="5"/>
      <c r="D1017" s="5"/>
      <c r="E1017" s="5"/>
      <c r="F1017" s="5"/>
      <c r="G1017" s="5"/>
      <c r="H1017" s="5"/>
      <c r="I1017" s="5"/>
    </row>
    <row r="1018" spans="2:9" x14ac:dyDescent="0.25">
      <c r="B1018" s="5"/>
      <c r="C1018" s="5"/>
      <c r="D1018" s="5"/>
      <c r="E1018" s="5"/>
      <c r="F1018" s="5"/>
      <c r="G1018" s="5"/>
      <c r="H1018" s="5"/>
      <c r="I1018" s="5"/>
    </row>
  </sheetData>
  <mergeCells count="5">
    <mergeCell ref="A2:I2"/>
    <mergeCell ref="A11:I11"/>
    <mergeCell ref="A20:I20"/>
    <mergeCell ref="A29:I29"/>
    <mergeCell ref="A38:I38"/>
  </mergeCells>
  <conditionalFormatting sqref="B4:I10 B12:I19 B21:I28 B30:I37 B39:I46">
    <cfRule type="colorScale" priority="1">
      <colorScale>
        <cfvo type="percent" val="0"/>
        <cfvo type="percent" val="50"/>
        <cfvo type="percent" val="100"/>
        <color rgb="FFE06666"/>
        <color rgb="FFFFD966"/>
        <color rgb="FF93C47D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996"/>
  <sheetViews>
    <sheetView workbookViewId="0"/>
  </sheetViews>
  <sheetFormatPr defaultColWidth="12.6640625" defaultRowHeight="13.2" x14ac:dyDescent="0.25"/>
  <cols>
    <col min="1" max="1" width="15.88671875" customWidth="1"/>
    <col min="2" max="8" width="11" customWidth="1"/>
    <col min="9" max="9" width="11.88671875" customWidth="1"/>
    <col min="10" max="10" width="17.88671875" customWidth="1"/>
    <col min="11" max="11" width="12.109375" customWidth="1"/>
    <col min="12" max="12" width="3.33203125" customWidth="1"/>
    <col min="13" max="13" width="17.5546875" customWidth="1"/>
    <col min="14" max="15" width="11" customWidth="1"/>
    <col min="16" max="16" width="11.88671875" customWidth="1"/>
    <col min="17" max="20" width="11" customWidth="1"/>
  </cols>
  <sheetData>
    <row r="1" spans="1:20" ht="126" x14ac:dyDescent="0.25">
      <c r="A1" s="25" t="s">
        <v>0</v>
      </c>
      <c r="B1" s="26"/>
      <c r="C1" s="26"/>
      <c r="D1" s="26"/>
      <c r="E1" s="26"/>
      <c r="F1" s="26"/>
      <c r="G1" s="26"/>
      <c r="H1" s="26"/>
      <c r="I1" s="26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</row>
    <row r="2" spans="1:20" ht="14.4" x14ac:dyDescent="0.25">
      <c r="A2" s="37" t="s">
        <v>1</v>
      </c>
      <c r="B2" s="37"/>
      <c r="C2" s="37"/>
      <c r="D2" s="37"/>
      <c r="E2" s="37"/>
      <c r="F2" s="37"/>
      <c r="G2" s="37"/>
      <c r="H2" s="37"/>
      <c r="I2" s="37"/>
      <c r="J2" s="21"/>
      <c r="K2" s="21"/>
      <c r="L2" s="21"/>
      <c r="M2" s="15"/>
      <c r="N2" s="15" t="s">
        <v>2</v>
      </c>
      <c r="O2" s="15" t="s">
        <v>3</v>
      </c>
      <c r="P2" s="15" t="s">
        <v>4</v>
      </c>
      <c r="Q2" s="15" t="s">
        <v>5</v>
      </c>
      <c r="R2" s="15" t="s">
        <v>6</v>
      </c>
      <c r="S2" s="15" t="s">
        <v>7</v>
      </c>
      <c r="T2" s="16" t="s">
        <v>8</v>
      </c>
    </row>
    <row r="3" spans="1:20" ht="14.4" x14ac:dyDescent="0.25">
      <c r="A3" s="27"/>
      <c r="B3" s="28" t="s">
        <v>9</v>
      </c>
      <c r="C3" s="28" t="s">
        <v>2</v>
      </c>
      <c r="D3" s="28" t="s">
        <v>3</v>
      </c>
      <c r="E3" s="28" t="s">
        <v>7</v>
      </c>
      <c r="F3" s="28" t="s">
        <v>8</v>
      </c>
      <c r="G3" s="28" t="s">
        <v>5</v>
      </c>
      <c r="H3" s="28" t="s">
        <v>6</v>
      </c>
      <c r="I3" s="28" t="s">
        <v>10</v>
      </c>
      <c r="J3" s="21"/>
      <c r="K3" s="21"/>
      <c r="L3" s="21"/>
      <c r="M3" s="29" t="s">
        <v>11</v>
      </c>
      <c r="N3" s="30">
        <v>1</v>
      </c>
      <c r="O3" s="30">
        <v>2</v>
      </c>
      <c r="P3" s="30">
        <v>2</v>
      </c>
      <c r="Q3" s="30">
        <v>2</v>
      </c>
      <c r="R3" s="30">
        <v>2</v>
      </c>
      <c r="S3" s="30">
        <v>2</v>
      </c>
      <c r="T3" s="30">
        <v>2</v>
      </c>
    </row>
    <row r="4" spans="1:20" ht="14.4" x14ac:dyDescent="0.25">
      <c r="A4" s="29" t="s">
        <v>9</v>
      </c>
      <c r="B4" s="24" t="s">
        <v>12</v>
      </c>
      <c r="C4" s="24">
        <v>0.34359000000000001</v>
      </c>
      <c r="D4" s="24">
        <v>0.18878</v>
      </c>
      <c r="E4" s="24">
        <v>0.18783</v>
      </c>
      <c r="F4" s="24">
        <v>0.81013999999999997</v>
      </c>
      <c r="G4" s="24">
        <v>0.18873999999999999</v>
      </c>
      <c r="H4" s="24">
        <v>0.18992999999999999</v>
      </c>
      <c r="I4" s="24">
        <f t="shared" ref="I4:I10" si="0">AVERAGE(B4:H4)</f>
        <v>0.31816833333333328</v>
      </c>
      <c r="J4" s="21" t="s">
        <v>13</v>
      </c>
      <c r="K4" s="24">
        <f>VARP(I4:I10)</f>
        <v>5.7821217816666673E-2</v>
      </c>
      <c r="L4" s="21"/>
      <c r="M4" s="29" t="s">
        <v>14</v>
      </c>
      <c r="N4" s="30">
        <v>5</v>
      </c>
      <c r="O4" s="30">
        <v>5</v>
      </c>
      <c r="P4" s="30">
        <v>4</v>
      </c>
      <c r="Q4" s="30">
        <v>5</v>
      </c>
      <c r="R4" s="30">
        <v>5</v>
      </c>
      <c r="S4" s="30">
        <v>5</v>
      </c>
      <c r="T4" s="30">
        <v>4</v>
      </c>
    </row>
    <row r="5" spans="1:20" ht="14.4" x14ac:dyDescent="0.25">
      <c r="A5" s="29" t="s">
        <v>2</v>
      </c>
      <c r="B5" s="24">
        <f>1-C4</f>
        <v>0.65640999999999994</v>
      </c>
      <c r="C5" s="24" t="s">
        <v>12</v>
      </c>
      <c r="D5" s="24">
        <v>0</v>
      </c>
      <c r="E5" s="24">
        <v>0</v>
      </c>
      <c r="F5" s="24">
        <v>0.65664999999999996</v>
      </c>
      <c r="G5" s="24">
        <v>0</v>
      </c>
      <c r="H5" s="24">
        <v>0</v>
      </c>
      <c r="I5" s="24">
        <f t="shared" si="0"/>
        <v>0.21884333333333331</v>
      </c>
      <c r="J5" s="21" t="s">
        <v>15</v>
      </c>
      <c r="K5" s="24">
        <f t="array" ref="K5">AVERAGE(IF(ISNUMBER(B4:H10), ABS(B4:H10-0.5), ""))</f>
        <v>0.26336571428571437</v>
      </c>
      <c r="L5" s="21"/>
      <c r="M5" s="29" t="s">
        <v>16</v>
      </c>
      <c r="N5" s="30">
        <v>1</v>
      </c>
      <c r="O5" s="30"/>
      <c r="P5" s="30"/>
      <c r="Q5" s="30"/>
      <c r="R5" s="30"/>
      <c r="S5" s="30"/>
      <c r="T5" s="30"/>
    </row>
    <row r="6" spans="1:20" ht="14.4" x14ac:dyDescent="0.25">
      <c r="A6" s="29" t="s">
        <v>3</v>
      </c>
      <c r="B6" s="24">
        <f>1-D4</f>
        <v>0.81122000000000005</v>
      </c>
      <c r="C6" s="24">
        <f>1-D5</f>
        <v>1</v>
      </c>
      <c r="D6" s="24" t="s">
        <v>12</v>
      </c>
      <c r="E6" s="24">
        <v>0.50024999999999997</v>
      </c>
      <c r="F6" s="24">
        <v>0.98294000000000004</v>
      </c>
      <c r="G6" s="24">
        <v>0.501</v>
      </c>
      <c r="H6" s="24">
        <v>0.50029999999999997</v>
      </c>
      <c r="I6" s="24">
        <f t="shared" si="0"/>
        <v>0.71595166666666665</v>
      </c>
      <c r="J6" s="21" t="s">
        <v>17</v>
      </c>
      <c r="K6" s="24">
        <f>MAX(I4:I10)-MIN(I4:I10)</f>
        <v>0.57019500000000001</v>
      </c>
      <c r="L6" s="21"/>
      <c r="M6" s="29" t="s">
        <v>18</v>
      </c>
      <c r="N6" s="30">
        <v>3</v>
      </c>
      <c r="O6" s="30">
        <v>2</v>
      </c>
      <c r="P6" s="30">
        <v>1</v>
      </c>
      <c r="Q6" s="30">
        <v>2</v>
      </c>
      <c r="R6" s="30">
        <v>2</v>
      </c>
      <c r="S6" s="30">
        <v>2</v>
      </c>
      <c r="T6" s="30">
        <v>2</v>
      </c>
    </row>
    <row r="7" spans="1:20" ht="14.4" x14ac:dyDescent="0.25">
      <c r="A7" s="29" t="s">
        <v>7</v>
      </c>
      <c r="B7" s="24">
        <f>1-E4</f>
        <v>0.81217000000000006</v>
      </c>
      <c r="C7" s="24">
        <f>1-E5</f>
        <v>1</v>
      </c>
      <c r="D7" s="24">
        <f>1-E6</f>
        <v>0.49975000000000003</v>
      </c>
      <c r="E7" s="24" t="s">
        <v>12</v>
      </c>
      <c r="F7" s="24">
        <v>0.89329000000000003</v>
      </c>
      <c r="G7" s="24">
        <v>0.50126999999999999</v>
      </c>
      <c r="H7" s="24">
        <v>0.50012000000000001</v>
      </c>
      <c r="I7" s="24">
        <f t="shared" si="0"/>
        <v>0.70109999999999995</v>
      </c>
      <c r="J7" s="21"/>
      <c r="K7" s="21"/>
      <c r="L7" s="21"/>
      <c r="M7" s="29" t="s">
        <v>19</v>
      </c>
      <c r="N7" s="30"/>
      <c r="O7" s="30"/>
      <c r="P7" s="30">
        <v>0.1</v>
      </c>
      <c r="Q7" s="30"/>
      <c r="R7" s="30"/>
      <c r="S7" s="30"/>
      <c r="T7" s="30">
        <v>0.1</v>
      </c>
    </row>
    <row r="8" spans="1:20" ht="14.4" x14ac:dyDescent="0.25">
      <c r="A8" s="29" t="s">
        <v>8</v>
      </c>
      <c r="B8" s="24">
        <f>1-F4</f>
        <v>0.18986000000000003</v>
      </c>
      <c r="C8" s="24">
        <f>1-F5</f>
        <v>0.34335000000000004</v>
      </c>
      <c r="D8" s="24">
        <f>1-F6</f>
        <v>1.7059999999999964E-2</v>
      </c>
      <c r="E8" s="24">
        <f>1-F7</f>
        <v>0.10670999999999997</v>
      </c>
      <c r="F8" s="24" t="s">
        <v>12</v>
      </c>
      <c r="G8" s="24">
        <v>0.10915999999999999</v>
      </c>
      <c r="H8" s="24">
        <v>0.1084</v>
      </c>
      <c r="I8" s="24">
        <f t="shared" si="0"/>
        <v>0.14575666666666667</v>
      </c>
      <c r="J8" s="21"/>
      <c r="K8" s="21"/>
      <c r="L8" s="21"/>
      <c r="M8" s="29" t="s">
        <v>20</v>
      </c>
      <c r="N8" s="30"/>
      <c r="O8" s="30">
        <v>0.5</v>
      </c>
      <c r="P8" s="30"/>
      <c r="Q8" s="30"/>
      <c r="R8" s="30"/>
      <c r="S8" s="30"/>
      <c r="T8" s="30"/>
    </row>
    <row r="9" spans="1:20" ht="14.4" x14ac:dyDescent="0.25">
      <c r="A9" s="29" t="s">
        <v>5</v>
      </c>
      <c r="B9" s="24">
        <f>1-G4</f>
        <v>0.81125999999999998</v>
      </c>
      <c r="C9" s="24">
        <f>1-G5</f>
        <v>1</v>
      </c>
      <c r="D9" s="24">
        <f>1-G6</f>
        <v>0.499</v>
      </c>
      <c r="E9" s="24">
        <f>1-G7</f>
        <v>0.49873000000000001</v>
      </c>
      <c r="F9" s="24">
        <f>1-G8</f>
        <v>0.89083999999999997</v>
      </c>
      <c r="G9" s="24" t="s">
        <v>12</v>
      </c>
      <c r="H9" s="24">
        <v>0.50114999999999998</v>
      </c>
      <c r="I9" s="24">
        <f t="shared" si="0"/>
        <v>0.70016333333333325</v>
      </c>
      <c r="J9" s="21"/>
      <c r="K9" s="21"/>
      <c r="L9" s="21"/>
      <c r="M9" s="29" t="s">
        <v>21</v>
      </c>
      <c r="N9" s="30" t="s">
        <v>27</v>
      </c>
      <c r="O9" s="30"/>
      <c r="P9" s="30"/>
      <c r="Q9" s="30"/>
      <c r="R9" s="30"/>
      <c r="S9" s="30"/>
      <c r="T9" s="30"/>
    </row>
    <row r="10" spans="1:20" ht="14.4" x14ac:dyDescent="0.25">
      <c r="A10" s="21" t="s">
        <v>6</v>
      </c>
      <c r="B10" s="22">
        <f>1-H4</f>
        <v>0.81007000000000007</v>
      </c>
      <c r="C10" s="22">
        <f>1-H5</f>
        <v>1</v>
      </c>
      <c r="D10" s="22">
        <f>1-H6</f>
        <v>0.49970000000000003</v>
      </c>
      <c r="E10" s="22">
        <f>1-H7</f>
        <v>0.49987999999999999</v>
      </c>
      <c r="F10" s="22">
        <f>1-H8</f>
        <v>0.89159999999999995</v>
      </c>
      <c r="G10" s="22">
        <f>1-H9</f>
        <v>0.49885000000000002</v>
      </c>
      <c r="H10" s="22" t="s">
        <v>12</v>
      </c>
      <c r="I10" s="22">
        <f t="shared" si="0"/>
        <v>0.70001666666666684</v>
      </c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</row>
    <row r="11" spans="1:20" ht="14.4" x14ac:dyDescent="0.25">
      <c r="A11" s="37" t="s">
        <v>23</v>
      </c>
      <c r="B11" s="37"/>
      <c r="C11" s="37"/>
      <c r="D11" s="37"/>
      <c r="E11" s="37"/>
      <c r="F11" s="37"/>
      <c r="G11" s="37"/>
      <c r="H11" s="37"/>
      <c r="I11" s="37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</row>
    <row r="12" spans="1:20" ht="14.4" x14ac:dyDescent="0.25">
      <c r="A12" s="27"/>
      <c r="B12" s="28" t="s">
        <v>9</v>
      </c>
      <c r="C12" s="28" t="s">
        <v>2</v>
      </c>
      <c r="D12" s="28" t="s">
        <v>3</v>
      </c>
      <c r="E12" s="28" t="s">
        <v>7</v>
      </c>
      <c r="F12" s="28" t="s">
        <v>8</v>
      </c>
      <c r="G12" s="28" t="s">
        <v>5</v>
      </c>
      <c r="H12" s="28" t="s">
        <v>6</v>
      </c>
      <c r="I12" s="28" t="s">
        <v>10</v>
      </c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</row>
    <row r="13" spans="1:20" ht="14.4" x14ac:dyDescent="0.25">
      <c r="A13" s="29" t="s">
        <v>9</v>
      </c>
      <c r="B13" s="24" t="s">
        <v>12</v>
      </c>
      <c r="C13" s="24">
        <v>0.41631000000000001</v>
      </c>
      <c r="D13" s="24">
        <v>0.19597000000000001</v>
      </c>
      <c r="E13" s="24">
        <v>0.19585</v>
      </c>
      <c r="F13" s="24">
        <v>0.83098000000000005</v>
      </c>
      <c r="G13" s="24">
        <v>0.11592</v>
      </c>
      <c r="H13" s="24">
        <v>0.10609</v>
      </c>
      <c r="I13" s="24">
        <f t="shared" ref="I13:I19" si="1">AVERAGE(B13:D13,G13:H13)</f>
        <v>0.20857250000000002</v>
      </c>
      <c r="J13" s="21" t="s">
        <v>13</v>
      </c>
      <c r="K13" s="24">
        <f>VARP(I13:I19)</f>
        <v>6.3094796791550958E-2</v>
      </c>
      <c r="L13" s="21"/>
      <c r="M13" s="21"/>
      <c r="N13" s="21"/>
      <c r="O13" s="21"/>
      <c r="P13" s="21"/>
      <c r="Q13" s="21"/>
      <c r="R13" s="21"/>
      <c r="S13" s="21"/>
      <c r="T13" s="21"/>
    </row>
    <row r="14" spans="1:20" ht="14.4" x14ac:dyDescent="0.25">
      <c r="A14" s="29" t="s">
        <v>2</v>
      </c>
      <c r="B14" s="24">
        <f>1-C13</f>
        <v>0.58369000000000004</v>
      </c>
      <c r="C14" s="24" t="s">
        <v>12</v>
      </c>
      <c r="D14" s="24">
        <v>0.11971</v>
      </c>
      <c r="E14" s="24">
        <v>0.1203</v>
      </c>
      <c r="F14" s="24">
        <v>0.57998000000000005</v>
      </c>
      <c r="G14" s="24">
        <v>0</v>
      </c>
      <c r="H14" s="24">
        <v>5.9150000000000001E-2</v>
      </c>
      <c r="I14" s="24">
        <f t="shared" si="1"/>
        <v>0.19063750000000002</v>
      </c>
      <c r="J14" s="21" t="s">
        <v>15</v>
      </c>
      <c r="K14" s="24">
        <f t="array" ref="K14">AVERAGE(IF(ISNUMBER(B13:H19), ABS(B13:H19-0.5), ""))</f>
        <v>0.31299714285714292</v>
      </c>
      <c r="L14" s="21"/>
      <c r="M14" s="21"/>
      <c r="N14" s="21"/>
      <c r="O14" s="21"/>
      <c r="P14" s="21"/>
      <c r="Q14" s="21"/>
      <c r="R14" s="21"/>
      <c r="S14" s="21"/>
      <c r="T14" s="21"/>
    </row>
    <row r="15" spans="1:20" ht="14.4" x14ac:dyDescent="0.25">
      <c r="A15" s="29" t="s">
        <v>3</v>
      </c>
      <c r="B15" s="24">
        <f>1-D13</f>
        <v>0.80403000000000002</v>
      </c>
      <c r="C15" s="24">
        <f>1-D14</f>
        <v>0.88029000000000002</v>
      </c>
      <c r="D15" s="24" t="s">
        <v>12</v>
      </c>
      <c r="E15" s="24">
        <v>0.49931999999999999</v>
      </c>
      <c r="F15" s="24">
        <v>0.99751999999999996</v>
      </c>
      <c r="G15" s="24">
        <v>0.13075999999999999</v>
      </c>
      <c r="H15" s="24">
        <v>0.50112999999999996</v>
      </c>
      <c r="I15" s="24">
        <f t="shared" si="1"/>
        <v>0.57905249999999997</v>
      </c>
      <c r="J15" s="21" t="s">
        <v>17</v>
      </c>
      <c r="K15" s="24">
        <f>MAX(I13:I19)-MIN(I13:I19)</f>
        <v>0.65481100000000003</v>
      </c>
      <c r="L15" s="21"/>
      <c r="M15" s="21"/>
      <c r="N15" s="21"/>
      <c r="O15" s="21"/>
      <c r="P15" s="21"/>
      <c r="Q15" s="21"/>
      <c r="R15" s="21"/>
      <c r="S15" s="21"/>
      <c r="T15" s="21"/>
    </row>
    <row r="16" spans="1:20" ht="14.4" x14ac:dyDescent="0.25">
      <c r="A16" s="29" t="s">
        <v>7</v>
      </c>
      <c r="B16" s="24">
        <f>1-E13</f>
        <v>0.80415000000000003</v>
      </c>
      <c r="C16" s="24">
        <f>1-E14</f>
        <v>0.87970000000000004</v>
      </c>
      <c r="D16" s="24">
        <f>1-E15</f>
        <v>0.50068000000000001</v>
      </c>
      <c r="E16" s="24" t="s">
        <v>12</v>
      </c>
      <c r="F16" s="24">
        <v>0.93052000000000001</v>
      </c>
      <c r="G16" s="24">
        <v>0.13045999999999999</v>
      </c>
      <c r="H16" s="24">
        <v>0.22211</v>
      </c>
      <c r="I16" s="24">
        <f t="shared" si="1"/>
        <v>0.50741999999999998</v>
      </c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</row>
    <row r="17" spans="1:20" ht="14.4" x14ac:dyDescent="0.25">
      <c r="A17" s="29" t="s">
        <v>8</v>
      </c>
      <c r="B17" s="24">
        <f>1-F13</f>
        <v>0.16901999999999995</v>
      </c>
      <c r="C17" s="24">
        <f>1-F14</f>
        <v>0.42001999999999995</v>
      </c>
      <c r="D17" s="24">
        <f>1-F15</f>
        <v>2.4800000000000377E-3</v>
      </c>
      <c r="E17" s="24">
        <f>1-F16</f>
        <v>6.9479999999999986E-2</v>
      </c>
      <c r="F17" s="24" t="s">
        <v>12</v>
      </c>
      <c r="G17" s="24">
        <v>3.6339999999999997E-2</v>
      </c>
      <c r="H17" s="24">
        <v>2.8160000000000001E-2</v>
      </c>
      <c r="I17" s="24">
        <f t="shared" si="1"/>
        <v>0.13120399999999999</v>
      </c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</row>
    <row r="18" spans="1:20" ht="14.4" x14ac:dyDescent="0.25">
      <c r="A18" s="29" t="s">
        <v>5</v>
      </c>
      <c r="B18" s="24">
        <f>1-G13</f>
        <v>0.88407999999999998</v>
      </c>
      <c r="C18" s="24">
        <f>1-G14</f>
        <v>1</v>
      </c>
      <c r="D18" s="24">
        <f>1-G15</f>
        <v>0.86924000000000001</v>
      </c>
      <c r="E18" s="24">
        <f>1-G16</f>
        <v>0.86953999999999998</v>
      </c>
      <c r="F18" s="24">
        <f>1-G17</f>
        <v>0.96365999999999996</v>
      </c>
      <c r="G18" s="24" t="s">
        <v>12</v>
      </c>
      <c r="H18" s="24">
        <v>0.39073999999999998</v>
      </c>
      <c r="I18" s="24">
        <f t="shared" si="1"/>
        <v>0.78601500000000002</v>
      </c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</row>
    <row r="19" spans="1:20" ht="14.4" x14ac:dyDescent="0.25">
      <c r="A19" s="21" t="s">
        <v>6</v>
      </c>
      <c r="B19" s="22">
        <f>1-H13</f>
        <v>0.89390999999999998</v>
      </c>
      <c r="C19" s="22">
        <f>1-H14</f>
        <v>0.94084999999999996</v>
      </c>
      <c r="D19" s="22">
        <f>1-H15</f>
        <v>0.49887000000000004</v>
      </c>
      <c r="E19" s="22">
        <f>1-H16</f>
        <v>0.77788999999999997</v>
      </c>
      <c r="F19" s="22">
        <f>1-H17</f>
        <v>0.97184000000000004</v>
      </c>
      <c r="G19" s="22">
        <f>1-H18</f>
        <v>0.60926000000000002</v>
      </c>
      <c r="H19" s="22" t="s">
        <v>12</v>
      </c>
      <c r="I19" s="22">
        <f t="shared" si="1"/>
        <v>0.73572249999999995</v>
      </c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</row>
    <row r="20" spans="1:20" ht="14.4" x14ac:dyDescent="0.25">
      <c r="A20" s="37" t="s">
        <v>24</v>
      </c>
      <c r="B20" s="37"/>
      <c r="C20" s="37"/>
      <c r="D20" s="37"/>
      <c r="E20" s="37"/>
      <c r="F20" s="37"/>
      <c r="G20" s="37"/>
      <c r="H20" s="37"/>
      <c r="I20" s="37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</row>
    <row r="21" spans="1:20" ht="14.4" x14ac:dyDescent="0.25">
      <c r="A21" s="27"/>
      <c r="B21" s="28" t="s">
        <v>9</v>
      </c>
      <c r="C21" s="28" t="s">
        <v>2</v>
      </c>
      <c r="D21" s="28" t="s">
        <v>3</v>
      </c>
      <c r="E21" s="28" t="s">
        <v>7</v>
      </c>
      <c r="F21" s="28" t="s">
        <v>8</v>
      </c>
      <c r="G21" s="28" t="s">
        <v>5</v>
      </c>
      <c r="H21" s="28" t="s">
        <v>6</v>
      </c>
      <c r="I21" s="28" t="s">
        <v>10</v>
      </c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</row>
    <row r="22" spans="1:20" ht="14.4" x14ac:dyDescent="0.25">
      <c r="A22" s="29" t="s">
        <v>9</v>
      </c>
      <c r="B22" s="24" t="s">
        <v>12</v>
      </c>
      <c r="C22" s="24">
        <v>0.43975999999999998</v>
      </c>
      <c r="D22" s="24">
        <v>0.25899</v>
      </c>
      <c r="E22" s="24">
        <v>0.26177</v>
      </c>
      <c r="F22" s="24">
        <v>0.83538000000000001</v>
      </c>
      <c r="G22" s="24">
        <v>4.7329999999999997E-2</v>
      </c>
      <c r="H22" s="24">
        <v>4.7079999999999997E-2</v>
      </c>
      <c r="I22" s="24">
        <f t="shared" ref="I22:I28" si="2">AVERAGE(B22:D22,G22:H22)</f>
        <v>0.19828999999999999</v>
      </c>
      <c r="J22" s="21" t="s">
        <v>13</v>
      </c>
      <c r="K22" s="24">
        <f>VARP(I22:I28)</f>
        <v>7.2982710356908162E-2</v>
      </c>
      <c r="L22" s="21"/>
      <c r="M22" s="21"/>
      <c r="N22" s="21"/>
      <c r="O22" s="21"/>
      <c r="P22" s="21"/>
      <c r="Q22" s="21"/>
      <c r="R22" s="21"/>
      <c r="S22" s="21"/>
      <c r="T22" s="21"/>
    </row>
    <row r="23" spans="1:20" ht="14.4" x14ac:dyDescent="0.25">
      <c r="A23" s="29" t="s">
        <v>2</v>
      </c>
      <c r="B23" s="24">
        <f>1-C22</f>
        <v>0.56024000000000007</v>
      </c>
      <c r="C23" s="24" t="s">
        <v>12</v>
      </c>
      <c r="D23" s="24">
        <v>0.12157</v>
      </c>
      <c r="E23" s="24">
        <v>0.12068</v>
      </c>
      <c r="F23" s="24">
        <v>0.55786000000000002</v>
      </c>
      <c r="G23" s="24">
        <v>6.9999999999999999E-4</v>
      </c>
      <c r="H23" s="24">
        <v>1.7489999999999999E-2</v>
      </c>
      <c r="I23" s="24">
        <f t="shared" si="2"/>
        <v>0.17500000000000002</v>
      </c>
      <c r="J23" s="21" t="s">
        <v>15</v>
      </c>
      <c r="K23" s="24">
        <f t="array" ref="K23">AVERAGE(IF(ISNUMBER(B22:H28), ABS(B22:H28-0.5), ""))</f>
        <v>0.33456285714285705</v>
      </c>
      <c r="L23" s="21"/>
      <c r="M23" s="21"/>
      <c r="N23" s="21"/>
      <c r="O23" s="21"/>
      <c r="P23" s="21"/>
      <c r="Q23" s="21"/>
      <c r="R23" s="21"/>
      <c r="S23" s="21"/>
      <c r="T23" s="21"/>
    </row>
    <row r="24" spans="1:20" ht="14.4" x14ac:dyDescent="0.25">
      <c r="A24" s="29" t="s">
        <v>3</v>
      </c>
      <c r="B24" s="24">
        <f>1-D22</f>
        <v>0.74100999999999995</v>
      </c>
      <c r="C24" s="24">
        <f>1-D23</f>
        <v>0.87843000000000004</v>
      </c>
      <c r="D24" s="24" t="s">
        <v>12</v>
      </c>
      <c r="E24" s="24">
        <v>0.50161999999999995</v>
      </c>
      <c r="F24" s="24">
        <v>0.99963999999999997</v>
      </c>
      <c r="G24" s="24">
        <v>3.3480000000000003E-2</v>
      </c>
      <c r="H24" s="24">
        <v>0.49714000000000003</v>
      </c>
      <c r="I24" s="24">
        <f t="shared" si="2"/>
        <v>0.53751499999999997</v>
      </c>
      <c r="J24" s="21" t="s">
        <v>17</v>
      </c>
      <c r="K24" s="24">
        <f>MAX(I22:I28)-MIN(I22:I28)</f>
        <v>0.77391050000000006</v>
      </c>
      <c r="L24" s="21"/>
      <c r="M24" s="21"/>
      <c r="N24" s="21"/>
      <c r="O24" s="21"/>
      <c r="P24" s="21"/>
      <c r="Q24" s="21"/>
      <c r="R24" s="21"/>
      <c r="S24" s="21"/>
      <c r="T24" s="21"/>
    </row>
    <row r="25" spans="1:20" ht="14.4" x14ac:dyDescent="0.25">
      <c r="A25" s="29" t="s">
        <v>7</v>
      </c>
      <c r="B25" s="24">
        <f>1-E22</f>
        <v>0.73822999999999994</v>
      </c>
      <c r="C25" s="24">
        <f>1-E23</f>
        <v>0.87931999999999999</v>
      </c>
      <c r="D25" s="24">
        <f>1-E24</f>
        <v>0.49838000000000005</v>
      </c>
      <c r="E25" s="24" t="s">
        <v>12</v>
      </c>
      <c r="F25" s="24">
        <v>0.95599999999999996</v>
      </c>
      <c r="G25" s="24">
        <v>3.3840000000000002E-2</v>
      </c>
      <c r="H25" s="24">
        <v>0.10477</v>
      </c>
      <c r="I25" s="24">
        <f t="shared" si="2"/>
        <v>0.45090799999999998</v>
      </c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</row>
    <row r="26" spans="1:20" ht="14.4" x14ac:dyDescent="0.25">
      <c r="A26" s="29" t="s">
        <v>8</v>
      </c>
      <c r="B26" s="24">
        <f>1-F22</f>
        <v>0.16461999999999999</v>
      </c>
      <c r="C26" s="24">
        <f>1-F23</f>
        <v>0.44213999999999998</v>
      </c>
      <c r="D26" s="24">
        <f>1-F24</f>
        <v>3.6000000000002697E-4</v>
      </c>
      <c r="E26" s="24">
        <f>1-F25</f>
        <v>4.4000000000000039E-2</v>
      </c>
      <c r="F26" s="24" t="s">
        <v>12</v>
      </c>
      <c r="G26" s="24">
        <v>8.4799999999999997E-3</v>
      </c>
      <c r="H26" s="24">
        <v>6.1599999999999997E-3</v>
      </c>
      <c r="I26" s="24">
        <f t="shared" si="2"/>
        <v>0.12435200000000002</v>
      </c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</row>
    <row r="27" spans="1:20" ht="14.4" x14ac:dyDescent="0.25">
      <c r="A27" s="29" t="s">
        <v>5</v>
      </c>
      <c r="B27" s="24">
        <f>1-G22</f>
        <v>0.95267000000000002</v>
      </c>
      <c r="C27" s="24">
        <f>1-G23</f>
        <v>0.99929999999999997</v>
      </c>
      <c r="D27" s="24">
        <f>1-G24</f>
        <v>0.96652000000000005</v>
      </c>
      <c r="E27" s="24">
        <f>1-G25</f>
        <v>0.96616000000000002</v>
      </c>
      <c r="F27" s="24">
        <f>1-G26</f>
        <v>0.99151999999999996</v>
      </c>
      <c r="G27" s="24" t="s">
        <v>12</v>
      </c>
      <c r="H27" s="24">
        <v>0.67456000000000005</v>
      </c>
      <c r="I27" s="24">
        <f t="shared" si="2"/>
        <v>0.89826250000000007</v>
      </c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</row>
    <row r="28" spans="1:20" ht="14.4" x14ac:dyDescent="0.25">
      <c r="A28" s="21" t="s">
        <v>6</v>
      </c>
      <c r="B28" s="22">
        <f>1-H22</f>
        <v>0.95291999999999999</v>
      </c>
      <c r="C28" s="22">
        <f>1-H23</f>
        <v>0.98250999999999999</v>
      </c>
      <c r="D28" s="22">
        <f>1-H24</f>
        <v>0.50285999999999997</v>
      </c>
      <c r="E28" s="22">
        <f>1-H25</f>
        <v>0.89522999999999997</v>
      </c>
      <c r="F28" s="22">
        <f>1-H26</f>
        <v>0.99383999999999995</v>
      </c>
      <c r="G28" s="22">
        <f>1-H27</f>
        <v>0.32543999999999995</v>
      </c>
      <c r="H28" s="22" t="s">
        <v>12</v>
      </c>
      <c r="I28" s="22">
        <f t="shared" si="2"/>
        <v>0.69093249999999995</v>
      </c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</row>
    <row r="29" spans="1:20" ht="14.4" x14ac:dyDescent="0.25">
      <c r="A29" s="37" t="s">
        <v>25</v>
      </c>
      <c r="B29" s="37"/>
      <c r="C29" s="37"/>
      <c r="D29" s="37"/>
      <c r="E29" s="37"/>
      <c r="F29" s="37"/>
      <c r="G29" s="37"/>
      <c r="H29" s="37"/>
      <c r="I29" s="37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</row>
    <row r="30" spans="1:20" ht="14.4" x14ac:dyDescent="0.25">
      <c r="A30" s="27"/>
      <c r="B30" s="28" t="s">
        <v>9</v>
      </c>
      <c r="C30" s="28" t="s">
        <v>2</v>
      </c>
      <c r="D30" s="28" t="s">
        <v>3</v>
      </c>
      <c r="E30" s="28" t="s">
        <v>7</v>
      </c>
      <c r="F30" s="28" t="s">
        <v>8</v>
      </c>
      <c r="G30" s="28" t="s">
        <v>5</v>
      </c>
      <c r="H30" s="28" t="s">
        <v>6</v>
      </c>
      <c r="I30" s="28" t="s">
        <v>10</v>
      </c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</row>
    <row r="31" spans="1:20" ht="14.4" x14ac:dyDescent="0.25">
      <c r="A31" s="29" t="s">
        <v>9</v>
      </c>
      <c r="B31" s="24" t="s">
        <v>12</v>
      </c>
      <c r="C31" s="24">
        <v>0.44113999999999998</v>
      </c>
      <c r="D31" s="24">
        <v>0.21814</v>
      </c>
      <c r="E31" s="24">
        <v>0.21995999999999999</v>
      </c>
      <c r="F31" s="24">
        <v>0.90661999999999998</v>
      </c>
      <c r="G31" s="24">
        <v>1.7899999999999999E-3</v>
      </c>
      <c r="H31" s="24">
        <v>1.6840000000000001E-2</v>
      </c>
      <c r="I31" s="24">
        <f t="shared" ref="I31:I37" si="3">AVERAGE(B31:H31)</f>
        <v>0.30074833333333334</v>
      </c>
      <c r="J31" s="21" t="s">
        <v>13</v>
      </c>
      <c r="K31" s="24">
        <f>VARP(I31:I37)</f>
        <v>8.4900115752380961E-2</v>
      </c>
      <c r="L31" s="21"/>
      <c r="M31" s="21"/>
      <c r="N31" s="21"/>
      <c r="O31" s="21"/>
      <c r="P31" s="21"/>
      <c r="Q31" s="21"/>
      <c r="R31" s="21"/>
      <c r="S31" s="21"/>
      <c r="T31" s="21"/>
    </row>
    <row r="32" spans="1:20" ht="14.4" x14ac:dyDescent="0.25">
      <c r="A32" s="29" t="s">
        <v>2</v>
      </c>
      <c r="B32" s="24">
        <f>1-C31</f>
        <v>0.55886000000000002</v>
      </c>
      <c r="C32" s="24" t="s">
        <v>12</v>
      </c>
      <c r="D32" s="24">
        <v>9.0289999999999995E-2</v>
      </c>
      <c r="E32" s="24">
        <v>8.8870000000000005E-2</v>
      </c>
      <c r="F32" s="24">
        <v>0.55957999999999997</v>
      </c>
      <c r="G32" s="24">
        <v>2.0000000000000002E-5</v>
      </c>
      <c r="H32" s="24">
        <v>4.79E-3</v>
      </c>
      <c r="I32" s="24">
        <f t="shared" si="3"/>
        <v>0.21706833333333334</v>
      </c>
      <c r="J32" s="21" t="s">
        <v>15</v>
      </c>
      <c r="K32" s="24">
        <f t="array" ref="K32">AVERAGE(IF(ISNUMBER(B31:H37), ABS(B31:H37-0.5), ""))</f>
        <v>0.36542952380952387</v>
      </c>
      <c r="L32" s="21"/>
      <c r="M32" s="21"/>
      <c r="N32" s="21"/>
      <c r="O32" s="21"/>
      <c r="P32" s="21"/>
      <c r="Q32" s="21"/>
      <c r="R32" s="21"/>
      <c r="S32" s="21"/>
      <c r="T32" s="21"/>
    </row>
    <row r="33" spans="1:20" ht="14.4" x14ac:dyDescent="0.25">
      <c r="A33" s="29" t="s">
        <v>3</v>
      </c>
      <c r="B33" s="24">
        <f>1-D31</f>
        <v>0.78186</v>
      </c>
      <c r="C33" s="24">
        <f>1-D32</f>
        <v>0.90971000000000002</v>
      </c>
      <c r="D33" s="24" t="s">
        <v>12</v>
      </c>
      <c r="E33" s="24">
        <v>0.50019999999999998</v>
      </c>
      <c r="F33" s="24">
        <v>0.99992999999999999</v>
      </c>
      <c r="G33" s="24">
        <v>2.5999999999999999E-3</v>
      </c>
      <c r="H33" s="24">
        <v>0.50258999999999998</v>
      </c>
      <c r="I33" s="24">
        <f t="shared" si="3"/>
        <v>0.61614833333333341</v>
      </c>
      <c r="J33" s="21" t="s">
        <v>17</v>
      </c>
      <c r="K33" s="24">
        <f>MAX(I31:I37)-MIN(I31:I37)</f>
        <v>0.88471500000000003</v>
      </c>
      <c r="L33" s="21"/>
      <c r="M33" s="21"/>
      <c r="N33" s="21"/>
      <c r="O33" s="21"/>
      <c r="P33" s="21"/>
      <c r="Q33" s="21"/>
      <c r="R33" s="21"/>
      <c r="S33" s="21"/>
      <c r="T33" s="21"/>
    </row>
    <row r="34" spans="1:20" ht="14.4" x14ac:dyDescent="0.25">
      <c r="A34" s="29" t="s">
        <v>7</v>
      </c>
      <c r="B34" s="24">
        <f>1-E31</f>
        <v>0.78004000000000007</v>
      </c>
      <c r="C34" s="24">
        <f>1-E32</f>
        <v>0.91113</v>
      </c>
      <c r="D34" s="24">
        <f>1-E33</f>
        <v>0.49980000000000002</v>
      </c>
      <c r="E34" s="24" t="s">
        <v>12</v>
      </c>
      <c r="F34" s="24">
        <v>0.97260000000000002</v>
      </c>
      <c r="G34" s="24">
        <v>2.5899999999999999E-3</v>
      </c>
      <c r="H34" s="24">
        <v>5.7579999999999999E-2</v>
      </c>
      <c r="I34" s="24">
        <f t="shared" si="3"/>
        <v>0.53729000000000005</v>
      </c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</row>
    <row r="35" spans="1:20" ht="14.4" x14ac:dyDescent="0.25">
      <c r="A35" s="29" t="s">
        <v>8</v>
      </c>
      <c r="B35" s="24">
        <f>1-F31</f>
        <v>9.3380000000000019E-2</v>
      </c>
      <c r="C35" s="24">
        <f>1-F32</f>
        <v>0.44042000000000003</v>
      </c>
      <c r="D35" s="24">
        <f>1-F33</f>
        <v>7.0000000000014495E-5</v>
      </c>
      <c r="E35" s="24">
        <f>1-F34</f>
        <v>2.739999999999998E-2</v>
      </c>
      <c r="F35" s="24" t="s">
        <v>12</v>
      </c>
      <c r="G35" s="24">
        <v>5.5000000000000003E-4</v>
      </c>
      <c r="H35" s="24">
        <v>1.41E-3</v>
      </c>
      <c r="I35" s="24">
        <f t="shared" si="3"/>
        <v>9.3871666666666687E-2</v>
      </c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</row>
    <row r="36" spans="1:20" ht="14.4" x14ac:dyDescent="0.25">
      <c r="A36" s="29" t="s">
        <v>5</v>
      </c>
      <c r="B36" s="24">
        <f>1-G31</f>
        <v>0.99821000000000004</v>
      </c>
      <c r="C36" s="24">
        <f>1-G32</f>
        <v>0.99997999999999998</v>
      </c>
      <c r="D36" s="24">
        <f>1-G33</f>
        <v>0.99739999999999995</v>
      </c>
      <c r="E36" s="24">
        <f>1-G34</f>
        <v>0.99741000000000002</v>
      </c>
      <c r="F36" s="24">
        <f>1-G35</f>
        <v>0.99944999999999995</v>
      </c>
      <c r="G36" s="24" t="s">
        <v>12</v>
      </c>
      <c r="H36" s="24">
        <v>0.87907000000000002</v>
      </c>
      <c r="I36" s="24">
        <f t="shared" si="3"/>
        <v>0.97858666666666672</v>
      </c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</row>
    <row r="37" spans="1:20" ht="14.4" x14ac:dyDescent="0.25">
      <c r="A37" s="21" t="s">
        <v>6</v>
      </c>
      <c r="B37" s="22">
        <f>1-H31</f>
        <v>0.98316000000000003</v>
      </c>
      <c r="C37" s="22">
        <f>1-H32</f>
        <v>0.99521000000000004</v>
      </c>
      <c r="D37" s="22">
        <f>1-H33</f>
        <v>0.49741000000000002</v>
      </c>
      <c r="E37" s="22">
        <f>1-H34</f>
        <v>0.94242000000000004</v>
      </c>
      <c r="F37" s="22">
        <f>1-H35</f>
        <v>0.99858999999999998</v>
      </c>
      <c r="G37" s="22">
        <f>1-H36</f>
        <v>0.12092999999999998</v>
      </c>
      <c r="H37" s="22" t="s">
        <v>12</v>
      </c>
      <c r="I37" s="22">
        <f t="shared" si="3"/>
        <v>0.75628666666666666</v>
      </c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</row>
    <row r="38" spans="1:20" ht="14.4" x14ac:dyDescent="0.25">
      <c r="A38" s="37" t="s">
        <v>26</v>
      </c>
      <c r="B38" s="37"/>
      <c r="C38" s="37"/>
      <c r="D38" s="37"/>
      <c r="E38" s="37"/>
      <c r="F38" s="37"/>
      <c r="G38" s="37"/>
      <c r="H38" s="37"/>
      <c r="I38" s="37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</row>
    <row r="39" spans="1:20" ht="14.4" x14ac:dyDescent="0.25">
      <c r="A39" s="27"/>
      <c r="B39" s="28" t="s">
        <v>9</v>
      </c>
      <c r="C39" s="28" t="s">
        <v>2</v>
      </c>
      <c r="D39" s="28" t="s">
        <v>3</v>
      </c>
      <c r="E39" s="28" t="s">
        <v>7</v>
      </c>
      <c r="F39" s="28" t="s">
        <v>8</v>
      </c>
      <c r="G39" s="28" t="s">
        <v>5</v>
      </c>
      <c r="H39" s="28" t="s">
        <v>6</v>
      </c>
      <c r="I39" s="28" t="s">
        <v>10</v>
      </c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</row>
    <row r="40" spans="1:20" ht="14.4" x14ac:dyDescent="0.25">
      <c r="A40" s="29" t="s">
        <v>9</v>
      </c>
      <c r="B40" s="24" t="s">
        <v>12</v>
      </c>
      <c r="C40" s="24">
        <v>0.43786000000000003</v>
      </c>
      <c r="D40" s="24">
        <v>0.20351</v>
      </c>
      <c r="E40" s="24">
        <v>0.20448</v>
      </c>
      <c r="F40" s="24">
        <v>0.93715999999999999</v>
      </c>
      <c r="G40" s="24">
        <v>0</v>
      </c>
      <c r="H40" s="24">
        <v>3.5500000000000002E-3</v>
      </c>
      <c r="I40" s="24">
        <f t="shared" ref="I40:I46" si="4">AVERAGE(B40:D40,G40:H40)</f>
        <v>0.16123000000000001</v>
      </c>
      <c r="J40" s="21" t="s">
        <v>13</v>
      </c>
      <c r="K40" s="24">
        <f>VARP(I40:I46)</f>
        <v>9.0956407897989783E-2</v>
      </c>
      <c r="L40" s="21"/>
      <c r="M40" s="21"/>
      <c r="N40" s="21"/>
      <c r="O40" s="21"/>
      <c r="P40" s="21"/>
      <c r="Q40" s="21"/>
      <c r="R40" s="21"/>
      <c r="S40" s="21"/>
      <c r="T40" s="21"/>
    </row>
    <row r="41" spans="1:20" ht="14.4" x14ac:dyDescent="0.25">
      <c r="A41" s="29" t="s">
        <v>2</v>
      </c>
      <c r="B41" s="24">
        <f>1-C40</f>
        <v>0.56213999999999997</v>
      </c>
      <c r="C41" s="24" t="s">
        <v>12</v>
      </c>
      <c r="D41" s="24">
        <v>5.2470000000000003E-2</v>
      </c>
      <c r="E41" s="24">
        <v>5.4730000000000001E-2</v>
      </c>
      <c r="F41" s="24">
        <v>0.56081000000000003</v>
      </c>
      <c r="G41" s="24">
        <v>0</v>
      </c>
      <c r="H41" s="24">
        <v>2.7E-4</v>
      </c>
      <c r="I41" s="24">
        <f t="shared" si="4"/>
        <v>0.15372</v>
      </c>
      <c r="J41" s="21" t="s">
        <v>15</v>
      </c>
      <c r="K41" s="24">
        <f t="array" ref="K41">AVERAGE(IF(ISNUMBER(B40:H46), ABS(B40:H46-0.5), ""))</f>
        <v>0.38134857142857148</v>
      </c>
      <c r="L41" s="21"/>
      <c r="M41" s="21"/>
      <c r="N41" s="21"/>
      <c r="O41" s="21"/>
      <c r="P41" s="21"/>
      <c r="Q41" s="21"/>
      <c r="R41" s="21"/>
      <c r="S41" s="21"/>
      <c r="T41" s="21"/>
    </row>
    <row r="42" spans="1:20" ht="14.4" x14ac:dyDescent="0.25">
      <c r="A42" s="29" t="s">
        <v>3</v>
      </c>
      <c r="B42" s="24">
        <f>1-D40</f>
        <v>0.79649000000000003</v>
      </c>
      <c r="C42" s="24">
        <f>1-D41</f>
        <v>0.94752999999999998</v>
      </c>
      <c r="D42" s="24" t="s">
        <v>12</v>
      </c>
      <c r="E42" s="24">
        <v>0.49964999999999998</v>
      </c>
      <c r="F42" s="24">
        <v>0.99999000000000005</v>
      </c>
      <c r="G42" s="24">
        <v>0</v>
      </c>
      <c r="H42" s="24">
        <v>0.49930999999999998</v>
      </c>
      <c r="I42" s="24">
        <f t="shared" si="4"/>
        <v>0.56083249999999996</v>
      </c>
      <c r="J42" s="21" t="s">
        <v>17</v>
      </c>
      <c r="K42" s="24">
        <f>MAX(I40:I46)-MIN(I40:I46)</f>
        <v>0.89894950000000007</v>
      </c>
      <c r="L42" s="21"/>
      <c r="M42" s="21"/>
      <c r="N42" s="21"/>
      <c r="O42" s="21"/>
      <c r="P42" s="21"/>
      <c r="Q42" s="21"/>
      <c r="R42" s="21"/>
      <c r="S42" s="21"/>
      <c r="T42" s="21"/>
    </row>
    <row r="43" spans="1:20" ht="14.4" x14ac:dyDescent="0.25">
      <c r="A43" s="29" t="s">
        <v>7</v>
      </c>
      <c r="B43" s="24">
        <f>1-E40</f>
        <v>0.79552</v>
      </c>
      <c r="C43" s="24">
        <f>1-E41</f>
        <v>0.94527000000000005</v>
      </c>
      <c r="D43" s="24">
        <f>1-E42</f>
        <v>0.50035000000000007</v>
      </c>
      <c r="E43" s="24" t="s">
        <v>12</v>
      </c>
      <c r="F43" s="24">
        <v>0.98970000000000002</v>
      </c>
      <c r="G43" s="24">
        <v>0</v>
      </c>
      <c r="H43" s="24">
        <v>2.094E-2</v>
      </c>
      <c r="I43" s="24">
        <f t="shared" si="4"/>
        <v>0.45241600000000004</v>
      </c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</row>
    <row r="44" spans="1:20" ht="14.4" x14ac:dyDescent="0.25">
      <c r="A44" s="29" t="s">
        <v>8</v>
      </c>
      <c r="B44" s="24">
        <f>1-F40</f>
        <v>6.2840000000000007E-2</v>
      </c>
      <c r="C44" s="24">
        <f>1-F41</f>
        <v>0.43918999999999997</v>
      </c>
      <c r="D44" s="24">
        <f>1-F42</f>
        <v>9.9999999999544897E-6</v>
      </c>
      <c r="E44" s="24">
        <f>1-F43</f>
        <v>1.0299999999999976E-2</v>
      </c>
      <c r="F44" s="24" t="s">
        <v>12</v>
      </c>
      <c r="G44" s="24">
        <v>0</v>
      </c>
      <c r="H44" s="24">
        <v>0</v>
      </c>
      <c r="I44" s="24">
        <f t="shared" si="4"/>
        <v>0.10040799999999998</v>
      </c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</row>
    <row r="45" spans="1:20" ht="14.4" x14ac:dyDescent="0.25">
      <c r="A45" s="29" t="s">
        <v>5</v>
      </c>
      <c r="B45" s="24">
        <f>1-G40</f>
        <v>1</v>
      </c>
      <c r="C45" s="24">
        <f>1-G41</f>
        <v>1</v>
      </c>
      <c r="D45" s="24">
        <f>1-G42</f>
        <v>1</v>
      </c>
      <c r="E45" s="24">
        <f>1-G43</f>
        <v>1</v>
      </c>
      <c r="F45" s="24">
        <f>1-G44</f>
        <v>1</v>
      </c>
      <c r="G45" s="24" t="s">
        <v>12</v>
      </c>
      <c r="H45" s="24">
        <v>0.99743000000000004</v>
      </c>
      <c r="I45" s="24">
        <f t="shared" si="4"/>
        <v>0.99935750000000001</v>
      </c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</row>
    <row r="46" spans="1:20" x14ac:dyDescent="0.25">
      <c r="A46" s="6" t="s">
        <v>6</v>
      </c>
      <c r="B46" s="7">
        <f>1-H40</f>
        <v>0.99644999999999995</v>
      </c>
      <c r="C46" s="7">
        <f>1-H41</f>
        <v>0.99973000000000001</v>
      </c>
      <c r="D46" s="7">
        <f>1-H42</f>
        <v>0.50069000000000008</v>
      </c>
      <c r="E46" s="7">
        <f>1-H43</f>
        <v>0.97906000000000004</v>
      </c>
      <c r="F46" s="7">
        <f>1-H44</f>
        <v>1</v>
      </c>
      <c r="G46" s="7">
        <f>1-H45</f>
        <v>2.5699999999999612E-3</v>
      </c>
      <c r="H46" s="7" t="s">
        <v>12</v>
      </c>
      <c r="I46" s="8">
        <f t="shared" si="4"/>
        <v>0.62485999999999997</v>
      </c>
    </row>
    <row r="47" spans="1:20" x14ac:dyDescent="0.25">
      <c r="B47" s="1"/>
      <c r="C47" s="1"/>
      <c r="D47" s="1"/>
      <c r="E47" s="1"/>
      <c r="F47" s="1"/>
      <c r="G47" s="1"/>
      <c r="H47" s="1"/>
      <c r="I47" s="1"/>
    </row>
    <row r="48" spans="1:20" x14ac:dyDescent="0.25">
      <c r="B48" s="1"/>
      <c r="C48" s="1"/>
      <c r="D48" s="1"/>
      <c r="E48" s="1"/>
      <c r="F48" s="1"/>
      <c r="G48" s="1"/>
      <c r="H48" s="1"/>
      <c r="I48" s="1"/>
    </row>
    <row r="49" spans="2:9" x14ac:dyDescent="0.25">
      <c r="B49" s="1"/>
      <c r="C49" s="1"/>
      <c r="D49" s="1"/>
      <c r="E49" s="1"/>
      <c r="F49" s="1"/>
      <c r="G49" s="1"/>
      <c r="H49" s="1"/>
      <c r="I49" s="1"/>
    </row>
    <row r="50" spans="2:9" x14ac:dyDescent="0.25">
      <c r="B50" s="1"/>
      <c r="C50" s="1"/>
      <c r="D50" s="1"/>
      <c r="E50" s="1"/>
      <c r="F50" s="1"/>
      <c r="G50" s="1"/>
      <c r="H50" s="1"/>
      <c r="I50" s="1"/>
    </row>
    <row r="51" spans="2:9" x14ac:dyDescent="0.25">
      <c r="B51" s="1"/>
      <c r="C51" s="1"/>
      <c r="D51" s="1"/>
      <c r="E51" s="1"/>
      <c r="F51" s="1"/>
      <c r="G51" s="1"/>
      <c r="H51" s="1"/>
      <c r="I51" s="1"/>
    </row>
    <row r="52" spans="2:9" x14ac:dyDescent="0.25">
      <c r="B52" s="1"/>
      <c r="C52" s="1"/>
      <c r="D52" s="1"/>
      <c r="E52" s="1"/>
      <c r="F52" s="1"/>
      <c r="G52" s="1"/>
      <c r="H52" s="1"/>
      <c r="I52" s="1"/>
    </row>
    <row r="53" spans="2:9" x14ac:dyDescent="0.25">
      <c r="B53" s="1"/>
      <c r="C53" s="1"/>
      <c r="D53" s="1"/>
      <c r="E53" s="1"/>
      <c r="F53" s="1"/>
      <c r="G53" s="1"/>
      <c r="H53" s="1"/>
      <c r="I53" s="1"/>
    </row>
    <row r="54" spans="2:9" x14ac:dyDescent="0.25">
      <c r="B54" s="1"/>
      <c r="C54" s="1"/>
      <c r="D54" s="1"/>
      <c r="E54" s="1"/>
      <c r="F54" s="1"/>
      <c r="G54" s="1"/>
      <c r="H54" s="1"/>
      <c r="I54" s="1"/>
    </row>
    <row r="55" spans="2:9" x14ac:dyDescent="0.25">
      <c r="B55" s="1"/>
      <c r="C55" s="1"/>
      <c r="D55" s="1"/>
      <c r="E55" s="1"/>
      <c r="F55" s="1"/>
      <c r="G55" s="1"/>
      <c r="H55" s="1"/>
      <c r="I55" s="1"/>
    </row>
    <row r="56" spans="2:9" x14ac:dyDescent="0.25">
      <c r="B56" s="1"/>
      <c r="C56" s="1"/>
      <c r="D56" s="1"/>
      <c r="E56" s="1"/>
      <c r="F56" s="1"/>
      <c r="G56" s="1"/>
      <c r="H56" s="1"/>
      <c r="I56" s="1"/>
    </row>
    <row r="57" spans="2:9" x14ac:dyDescent="0.25">
      <c r="B57" s="1"/>
      <c r="C57" s="1"/>
      <c r="D57" s="1"/>
      <c r="E57" s="1"/>
      <c r="F57" s="1"/>
      <c r="G57" s="1"/>
      <c r="H57" s="1"/>
      <c r="I57" s="1"/>
    </row>
    <row r="58" spans="2:9" x14ac:dyDescent="0.25">
      <c r="B58" s="1"/>
      <c r="C58" s="1"/>
      <c r="D58" s="1"/>
      <c r="E58" s="1"/>
      <c r="F58" s="1"/>
      <c r="G58" s="1"/>
      <c r="H58" s="1"/>
      <c r="I58" s="1"/>
    </row>
    <row r="59" spans="2:9" x14ac:dyDescent="0.25">
      <c r="B59" s="1"/>
      <c r="C59" s="1"/>
      <c r="D59" s="1"/>
      <c r="E59" s="1"/>
      <c r="F59" s="1"/>
      <c r="G59" s="1"/>
      <c r="H59" s="1"/>
      <c r="I59" s="1"/>
    </row>
    <row r="60" spans="2:9" x14ac:dyDescent="0.25">
      <c r="B60" s="1"/>
      <c r="C60" s="1"/>
      <c r="D60" s="1"/>
      <c r="E60" s="1"/>
      <c r="F60" s="1"/>
      <c r="G60" s="1"/>
      <c r="H60" s="1"/>
      <c r="I60" s="1"/>
    </row>
    <row r="61" spans="2:9" x14ac:dyDescent="0.25">
      <c r="B61" s="1"/>
      <c r="C61" s="1"/>
      <c r="D61" s="1"/>
      <c r="E61" s="1"/>
      <c r="F61" s="1"/>
      <c r="G61" s="1"/>
      <c r="H61" s="1"/>
      <c r="I61" s="1"/>
    </row>
    <row r="62" spans="2:9" x14ac:dyDescent="0.25">
      <c r="B62" s="1"/>
      <c r="C62" s="1"/>
      <c r="D62" s="1"/>
      <c r="E62" s="1"/>
      <c r="F62" s="1"/>
      <c r="G62" s="1"/>
      <c r="H62" s="1"/>
      <c r="I62" s="1"/>
    </row>
    <row r="63" spans="2:9" x14ac:dyDescent="0.25">
      <c r="B63" s="1"/>
      <c r="C63" s="1"/>
      <c r="D63" s="1"/>
      <c r="E63" s="1"/>
      <c r="F63" s="1"/>
      <c r="G63" s="1"/>
      <c r="H63" s="1"/>
      <c r="I63" s="1"/>
    </row>
    <row r="64" spans="2:9" x14ac:dyDescent="0.25">
      <c r="B64" s="1"/>
      <c r="C64" s="1"/>
      <c r="D64" s="1"/>
      <c r="E64" s="1"/>
      <c r="F64" s="1"/>
      <c r="G64" s="1"/>
      <c r="H64" s="1"/>
      <c r="I64" s="1"/>
    </row>
    <row r="65" spans="2:9" x14ac:dyDescent="0.25">
      <c r="B65" s="1"/>
      <c r="C65" s="1"/>
      <c r="D65" s="1"/>
      <c r="E65" s="1"/>
      <c r="F65" s="1"/>
      <c r="G65" s="1"/>
      <c r="H65" s="1"/>
      <c r="I65" s="1"/>
    </row>
    <row r="66" spans="2:9" x14ac:dyDescent="0.25">
      <c r="B66" s="1"/>
      <c r="C66" s="1"/>
      <c r="D66" s="1"/>
      <c r="E66" s="1"/>
      <c r="F66" s="1"/>
      <c r="G66" s="1"/>
      <c r="H66" s="1"/>
      <c r="I66" s="1"/>
    </row>
    <row r="67" spans="2:9" x14ac:dyDescent="0.25">
      <c r="B67" s="1"/>
      <c r="C67" s="1"/>
      <c r="D67" s="1"/>
      <c r="E67" s="1"/>
      <c r="F67" s="1"/>
      <c r="G67" s="1"/>
      <c r="H67" s="1"/>
      <c r="I67" s="1"/>
    </row>
    <row r="68" spans="2:9" x14ac:dyDescent="0.25">
      <c r="B68" s="1"/>
      <c r="C68" s="1"/>
      <c r="D68" s="1"/>
      <c r="E68" s="1"/>
      <c r="F68" s="1"/>
      <c r="G68" s="1"/>
      <c r="H68" s="1"/>
      <c r="I68" s="1"/>
    </row>
    <row r="69" spans="2:9" x14ac:dyDescent="0.25">
      <c r="B69" s="1"/>
      <c r="C69" s="1"/>
      <c r="D69" s="1"/>
      <c r="E69" s="1"/>
      <c r="F69" s="1"/>
      <c r="G69" s="1"/>
      <c r="H69" s="1"/>
      <c r="I69" s="1"/>
    </row>
    <row r="70" spans="2:9" x14ac:dyDescent="0.25">
      <c r="B70" s="1"/>
      <c r="C70" s="1"/>
      <c r="D70" s="1"/>
      <c r="E70" s="1"/>
      <c r="F70" s="1"/>
      <c r="G70" s="1"/>
      <c r="H70" s="1"/>
      <c r="I70" s="1"/>
    </row>
    <row r="71" spans="2:9" x14ac:dyDescent="0.25">
      <c r="B71" s="1"/>
      <c r="C71" s="1"/>
      <c r="D71" s="1"/>
      <c r="E71" s="1"/>
      <c r="F71" s="1"/>
      <c r="G71" s="1"/>
      <c r="H71" s="1"/>
      <c r="I71" s="1"/>
    </row>
    <row r="72" spans="2:9" x14ac:dyDescent="0.25">
      <c r="B72" s="1"/>
      <c r="C72" s="1"/>
      <c r="D72" s="1"/>
      <c r="E72" s="1"/>
      <c r="F72" s="1"/>
      <c r="G72" s="1"/>
      <c r="H72" s="1"/>
      <c r="I72" s="1"/>
    </row>
    <row r="73" spans="2:9" x14ac:dyDescent="0.25">
      <c r="B73" s="1"/>
      <c r="C73" s="1"/>
      <c r="D73" s="1"/>
      <c r="E73" s="1"/>
      <c r="F73" s="1"/>
      <c r="G73" s="1"/>
      <c r="H73" s="1"/>
      <c r="I73" s="1"/>
    </row>
    <row r="74" spans="2:9" x14ac:dyDescent="0.25">
      <c r="B74" s="1"/>
      <c r="C74" s="1"/>
      <c r="D74" s="1"/>
      <c r="E74" s="1"/>
      <c r="F74" s="1"/>
      <c r="G74" s="1"/>
      <c r="H74" s="1"/>
      <c r="I74" s="1"/>
    </row>
    <row r="75" spans="2:9" x14ac:dyDescent="0.25">
      <c r="B75" s="1"/>
      <c r="C75" s="1"/>
      <c r="D75" s="1"/>
      <c r="E75" s="1"/>
      <c r="F75" s="1"/>
      <c r="G75" s="1"/>
      <c r="H75" s="1"/>
      <c r="I75" s="1"/>
    </row>
    <row r="76" spans="2:9" x14ac:dyDescent="0.25">
      <c r="B76" s="1"/>
      <c r="C76" s="1"/>
      <c r="D76" s="1"/>
      <c r="E76" s="1"/>
      <c r="F76" s="1"/>
      <c r="G76" s="1"/>
      <c r="H76" s="1"/>
      <c r="I76" s="1"/>
    </row>
    <row r="77" spans="2:9" x14ac:dyDescent="0.25">
      <c r="B77" s="1"/>
      <c r="C77" s="1"/>
      <c r="D77" s="1"/>
      <c r="E77" s="1"/>
      <c r="F77" s="1"/>
      <c r="G77" s="1"/>
      <c r="H77" s="1"/>
      <c r="I77" s="1"/>
    </row>
    <row r="78" spans="2:9" x14ac:dyDescent="0.25">
      <c r="B78" s="1"/>
      <c r="C78" s="1"/>
      <c r="D78" s="1"/>
      <c r="E78" s="1"/>
      <c r="F78" s="1"/>
      <c r="G78" s="1"/>
      <c r="H78" s="1"/>
      <c r="I78" s="1"/>
    </row>
    <row r="79" spans="2:9" x14ac:dyDescent="0.25">
      <c r="B79" s="1"/>
      <c r="C79" s="1"/>
      <c r="D79" s="1"/>
      <c r="E79" s="1"/>
      <c r="F79" s="1"/>
      <c r="G79" s="1"/>
      <c r="H79" s="1"/>
      <c r="I79" s="1"/>
    </row>
    <row r="80" spans="2:9" x14ac:dyDescent="0.25">
      <c r="B80" s="1"/>
      <c r="C80" s="1"/>
      <c r="D80" s="1"/>
      <c r="E80" s="1"/>
      <c r="F80" s="1"/>
      <c r="G80" s="1"/>
      <c r="H80" s="1"/>
      <c r="I80" s="1"/>
    </row>
    <row r="81" spans="2:9" x14ac:dyDescent="0.25">
      <c r="B81" s="1"/>
      <c r="C81" s="1"/>
      <c r="D81" s="1"/>
      <c r="E81" s="1"/>
      <c r="F81" s="1"/>
      <c r="G81" s="1"/>
      <c r="H81" s="1"/>
      <c r="I81" s="1"/>
    </row>
    <row r="82" spans="2:9" x14ac:dyDescent="0.25">
      <c r="B82" s="1"/>
      <c r="C82" s="1"/>
      <c r="D82" s="1"/>
      <c r="E82" s="1"/>
      <c r="F82" s="1"/>
      <c r="G82" s="1"/>
      <c r="H82" s="1"/>
      <c r="I82" s="1"/>
    </row>
    <row r="83" spans="2:9" x14ac:dyDescent="0.25">
      <c r="B83" s="1"/>
      <c r="C83" s="1"/>
      <c r="D83" s="1"/>
      <c r="E83" s="1"/>
      <c r="F83" s="1"/>
      <c r="G83" s="1"/>
      <c r="H83" s="1"/>
      <c r="I83" s="1"/>
    </row>
    <row r="84" spans="2:9" x14ac:dyDescent="0.25">
      <c r="B84" s="1"/>
      <c r="C84" s="1"/>
      <c r="D84" s="1"/>
      <c r="E84" s="1"/>
      <c r="F84" s="1"/>
      <c r="G84" s="1"/>
      <c r="H84" s="1"/>
      <c r="I84" s="1"/>
    </row>
    <row r="85" spans="2:9" x14ac:dyDescent="0.25">
      <c r="B85" s="1"/>
      <c r="C85" s="1"/>
      <c r="D85" s="1"/>
      <c r="E85" s="1"/>
      <c r="F85" s="1"/>
      <c r="G85" s="1"/>
      <c r="H85" s="1"/>
      <c r="I85" s="1"/>
    </row>
    <row r="86" spans="2:9" x14ac:dyDescent="0.25">
      <c r="B86" s="1"/>
      <c r="C86" s="1"/>
      <c r="D86" s="1"/>
      <c r="E86" s="1"/>
      <c r="F86" s="1"/>
      <c r="G86" s="1"/>
      <c r="H86" s="1"/>
      <c r="I86" s="1"/>
    </row>
    <row r="87" spans="2:9" x14ac:dyDescent="0.25">
      <c r="B87" s="1"/>
      <c r="C87" s="1"/>
      <c r="D87" s="1"/>
      <c r="E87" s="1"/>
      <c r="F87" s="1"/>
      <c r="G87" s="1"/>
      <c r="H87" s="1"/>
      <c r="I87" s="1"/>
    </row>
    <row r="88" spans="2:9" x14ac:dyDescent="0.25">
      <c r="B88" s="1"/>
      <c r="C88" s="1"/>
      <c r="D88" s="1"/>
      <c r="E88" s="1"/>
      <c r="F88" s="1"/>
      <c r="G88" s="1"/>
      <c r="H88" s="1"/>
      <c r="I88" s="1"/>
    </row>
    <row r="89" spans="2:9" x14ac:dyDescent="0.25">
      <c r="B89" s="1"/>
      <c r="C89" s="1"/>
      <c r="D89" s="1"/>
      <c r="E89" s="1"/>
      <c r="F89" s="1"/>
      <c r="G89" s="1"/>
      <c r="H89" s="1"/>
      <c r="I89" s="1"/>
    </row>
    <row r="90" spans="2:9" x14ac:dyDescent="0.25">
      <c r="B90" s="1"/>
      <c r="C90" s="1"/>
      <c r="D90" s="1"/>
      <c r="E90" s="1"/>
      <c r="F90" s="1"/>
      <c r="G90" s="1"/>
      <c r="H90" s="1"/>
      <c r="I90" s="1"/>
    </row>
    <row r="91" spans="2:9" x14ac:dyDescent="0.25">
      <c r="B91" s="1"/>
      <c r="C91" s="1"/>
      <c r="D91" s="1"/>
      <c r="E91" s="1"/>
      <c r="F91" s="1"/>
      <c r="G91" s="1"/>
      <c r="H91" s="1"/>
      <c r="I91" s="1"/>
    </row>
    <row r="92" spans="2:9" x14ac:dyDescent="0.25">
      <c r="B92" s="1"/>
      <c r="C92" s="1"/>
      <c r="D92" s="1"/>
      <c r="E92" s="1"/>
      <c r="F92" s="1"/>
      <c r="G92" s="1"/>
      <c r="H92" s="1"/>
      <c r="I92" s="1"/>
    </row>
    <row r="93" spans="2:9" x14ac:dyDescent="0.25">
      <c r="B93" s="1"/>
      <c r="C93" s="1"/>
      <c r="D93" s="1"/>
      <c r="E93" s="1"/>
      <c r="F93" s="1"/>
      <c r="G93" s="1"/>
      <c r="H93" s="1"/>
      <c r="I93" s="1"/>
    </row>
    <row r="94" spans="2:9" x14ac:dyDescent="0.25">
      <c r="B94" s="1"/>
      <c r="C94" s="1"/>
      <c r="D94" s="1"/>
      <c r="E94" s="1"/>
      <c r="F94" s="1"/>
      <c r="G94" s="1"/>
      <c r="H94" s="1"/>
      <c r="I94" s="1"/>
    </row>
    <row r="95" spans="2:9" x14ac:dyDescent="0.25">
      <c r="B95" s="1"/>
      <c r="C95" s="1"/>
      <c r="D95" s="1"/>
      <c r="E95" s="1"/>
      <c r="F95" s="1"/>
      <c r="G95" s="1"/>
      <c r="H95" s="1"/>
      <c r="I95" s="1"/>
    </row>
    <row r="96" spans="2:9" x14ac:dyDescent="0.25">
      <c r="B96" s="1"/>
      <c r="C96" s="1"/>
      <c r="D96" s="1"/>
      <c r="E96" s="1"/>
      <c r="F96" s="1"/>
      <c r="G96" s="1"/>
      <c r="H96" s="1"/>
      <c r="I96" s="1"/>
    </row>
    <row r="97" spans="2:9" x14ac:dyDescent="0.25">
      <c r="B97" s="1"/>
      <c r="C97" s="1"/>
      <c r="D97" s="1"/>
      <c r="E97" s="1"/>
      <c r="F97" s="1"/>
      <c r="G97" s="1"/>
      <c r="H97" s="1"/>
      <c r="I97" s="1"/>
    </row>
    <row r="98" spans="2:9" x14ac:dyDescent="0.25">
      <c r="B98" s="1"/>
      <c r="C98" s="1"/>
      <c r="D98" s="1"/>
      <c r="E98" s="1"/>
      <c r="F98" s="1"/>
      <c r="G98" s="1"/>
      <c r="H98" s="1"/>
      <c r="I98" s="1"/>
    </row>
    <row r="99" spans="2:9" x14ac:dyDescent="0.25">
      <c r="B99" s="1"/>
      <c r="C99" s="1"/>
      <c r="D99" s="1"/>
      <c r="E99" s="1"/>
      <c r="F99" s="1"/>
      <c r="G99" s="1"/>
      <c r="H99" s="1"/>
      <c r="I99" s="1"/>
    </row>
    <row r="100" spans="2:9" x14ac:dyDescent="0.25">
      <c r="B100" s="1"/>
      <c r="C100" s="1"/>
      <c r="D100" s="1"/>
      <c r="E100" s="1"/>
      <c r="F100" s="1"/>
      <c r="G100" s="1"/>
      <c r="H100" s="1"/>
      <c r="I100" s="1"/>
    </row>
    <row r="101" spans="2:9" x14ac:dyDescent="0.25">
      <c r="B101" s="1"/>
      <c r="C101" s="1"/>
      <c r="D101" s="1"/>
      <c r="E101" s="1"/>
      <c r="F101" s="1"/>
      <c r="G101" s="1"/>
      <c r="H101" s="1"/>
      <c r="I101" s="1"/>
    </row>
    <row r="102" spans="2:9" x14ac:dyDescent="0.25">
      <c r="B102" s="1"/>
      <c r="C102" s="1"/>
      <c r="D102" s="1"/>
      <c r="E102" s="1"/>
      <c r="F102" s="1"/>
      <c r="G102" s="1"/>
      <c r="H102" s="1"/>
      <c r="I102" s="1"/>
    </row>
    <row r="103" spans="2:9" x14ac:dyDescent="0.25">
      <c r="B103" s="1"/>
      <c r="C103" s="1"/>
      <c r="D103" s="1"/>
      <c r="E103" s="1"/>
      <c r="F103" s="1"/>
      <c r="G103" s="1"/>
      <c r="H103" s="1"/>
      <c r="I103" s="1"/>
    </row>
    <row r="104" spans="2:9" x14ac:dyDescent="0.25">
      <c r="B104" s="1"/>
      <c r="C104" s="1"/>
      <c r="D104" s="1"/>
      <c r="E104" s="1"/>
      <c r="F104" s="1"/>
      <c r="G104" s="1"/>
      <c r="H104" s="1"/>
      <c r="I104" s="1"/>
    </row>
    <row r="105" spans="2:9" x14ac:dyDescent="0.25">
      <c r="B105" s="1"/>
      <c r="C105" s="1"/>
      <c r="D105" s="1"/>
      <c r="E105" s="1"/>
      <c r="F105" s="1"/>
      <c r="G105" s="1"/>
      <c r="H105" s="1"/>
      <c r="I105" s="1"/>
    </row>
    <row r="106" spans="2:9" x14ac:dyDescent="0.25">
      <c r="B106" s="1"/>
      <c r="C106" s="1"/>
      <c r="D106" s="1"/>
      <c r="E106" s="1"/>
      <c r="F106" s="1"/>
      <c r="G106" s="1"/>
      <c r="H106" s="1"/>
      <c r="I106" s="1"/>
    </row>
    <row r="107" spans="2:9" x14ac:dyDescent="0.25">
      <c r="B107" s="1"/>
      <c r="C107" s="1"/>
      <c r="D107" s="1"/>
      <c r="E107" s="1"/>
      <c r="F107" s="1"/>
      <c r="G107" s="1"/>
      <c r="H107" s="1"/>
      <c r="I107" s="1"/>
    </row>
    <row r="108" spans="2:9" x14ac:dyDescent="0.25">
      <c r="B108" s="1"/>
      <c r="C108" s="1"/>
      <c r="D108" s="1"/>
      <c r="E108" s="1"/>
      <c r="F108" s="1"/>
      <c r="G108" s="1"/>
      <c r="H108" s="1"/>
      <c r="I108" s="1"/>
    </row>
    <row r="109" spans="2:9" x14ac:dyDescent="0.25">
      <c r="B109" s="1"/>
      <c r="C109" s="1"/>
      <c r="D109" s="1"/>
      <c r="E109" s="1"/>
      <c r="F109" s="1"/>
      <c r="G109" s="1"/>
      <c r="H109" s="1"/>
      <c r="I109" s="1"/>
    </row>
    <row r="110" spans="2:9" x14ac:dyDescent="0.25">
      <c r="B110" s="1"/>
      <c r="C110" s="1"/>
      <c r="D110" s="1"/>
      <c r="E110" s="1"/>
      <c r="F110" s="1"/>
      <c r="G110" s="1"/>
      <c r="H110" s="1"/>
      <c r="I110" s="1"/>
    </row>
    <row r="111" spans="2:9" x14ac:dyDescent="0.25">
      <c r="B111" s="1"/>
      <c r="C111" s="1"/>
      <c r="D111" s="1"/>
      <c r="E111" s="1"/>
      <c r="F111" s="1"/>
      <c r="G111" s="1"/>
      <c r="H111" s="1"/>
      <c r="I111" s="1"/>
    </row>
    <row r="112" spans="2:9" x14ac:dyDescent="0.25">
      <c r="B112" s="1"/>
      <c r="C112" s="1"/>
      <c r="D112" s="1"/>
      <c r="E112" s="1"/>
      <c r="F112" s="1"/>
      <c r="G112" s="1"/>
      <c r="H112" s="1"/>
      <c r="I112" s="1"/>
    </row>
    <row r="113" spans="2:9" x14ac:dyDescent="0.25">
      <c r="B113" s="1"/>
      <c r="C113" s="1"/>
      <c r="D113" s="1"/>
      <c r="E113" s="1"/>
      <c r="F113" s="1"/>
      <c r="G113" s="1"/>
      <c r="H113" s="1"/>
      <c r="I113" s="1"/>
    </row>
    <row r="114" spans="2:9" x14ac:dyDescent="0.25">
      <c r="B114" s="1"/>
      <c r="C114" s="1"/>
      <c r="D114" s="1"/>
      <c r="E114" s="1"/>
      <c r="F114" s="1"/>
      <c r="G114" s="1"/>
      <c r="H114" s="1"/>
      <c r="I114" s="1"/>
    </row>
    <row r="115" spans="2:9" x14ac:dyDescent="0.25">
      <c r="B115" s="1"/>
      <c r="C115" s="1"/>
      <c r="D115" s="1"/>
      <c r="E115" s="1"/>
      <c r="F115" s="1"/>
      <c r="G115" s="1"/>
      <c r="H115" s="1"/>
      <c r="I115" s="1"/>
    </row>
    <row r="116" spans="2:9" x14ac:dyDescent="0.25">
      <c r="B116" s="1"/>
      <c r="C116" s="1"/>
      <c r="D116" s="1"/>
      <c r="E116" s="1"/>
      <c r="F116" s="1"/>
      <c r="G116" s="1"/>
      <c r="H116" s="1"/>
      <c r="I116" s="1"/>
    </row>
    <row r="117" spans="2:9" x14ac:dyDescent="0.25">
      <c r="B117" s="1"/>
      <c r="C117" s="1"/>
      <c r="D117" s="1"/>
      <c r="E117" s="1"/>
      <c r="F117" s="1"/>
      <c r="G117" s="1"/>
      <c r="H117" s="1"/>
      <c r="I117" s="1"/>
    </row>
    <row r="118" spans="2:9" x14ac:dyDescent="0.25">
      <c r="B118" s="1"/>
      <c r="C118" s="1"/>
      <c r="D118" s="1"/>
      <c r="E118" s="1"/>
      <c r="F118" s="1"/>
      <c r="G118" s="1"/>
      <c r="H118" s="1"/>
      <c r="I118" s="1"/>
    </row>
    <row r="119" spans="2:9" x14ac:dyDescent="0.25">
      <c r="B119" s="1"/>
      <c r="C119" s="1"/>
      <c r="D119" s="1"/>
      <c r="E119" s="1"/>
      <c r="F119" s="1"/>
      <c r="G119" s="1"/>
      <c r="H119" s="1"/>
      <c r="I119" s="1"/>
    </row>
    <row r="120" spans="2:9" x14ac:dyDescent="0.25">
      <c r="B120" s="1"/>
      <c r="C120" s="1"/>
      <c r="D120" s="1"/>
      <c r="E120" s="1"/>
      <c r="F120" s="1"/>
      <c r="G120" s="1"/>
      <c r="H120" s="1"/>
      <c r="I120" s="1"/>
    </row>
    <row r="121" spans="2:9" x14ac:dyDescent="0.25">
      <c r="B121" s="1"/>
      <c r="C121" s="1"/>
      <c r="D121" s="1"/>
      <c r="E121" s="1"/>
      <c r="F121" s="1"/>
      <c r="G121" s="1"/>
      <c r="H121" s="1"/>
      <c r="I121" s="1"/>
    </row>
    <row r="122" spans="2:9" x14ac:dyDescent="0.25">
      <c r="B122" s="1"/>
      <c r="C122" s="1"/>
      <c r="D122" s="1"/>
      <c r="E122" s="1"/>
      <c r="F122" s="1"/>
      <c r="G122" s="1"/>
      <c r="H122" s="1"/>
      <c r="I122" s="1"/>
    </row>
    <row r="123" spans="2:9" x14ac:dyDescent="0.25">
      <c r="B123" s="1"/>
      <c r="C123" s="1"/>
      <c r="D123" s="1"/>
      <c r="E123" s="1"/>
      <c r="F123" s="1"/>
      <c r="G123" s="1"/>
      <c r="H123" s="1"/>
      <c r="I123" s="1"/>
    </row>
    <row r="124" spans="2:9" x14ac:dyDescent="0.25">
      <c r="B124" s="1"/>
      <c r="C124" s="1"/>
      <c r="D124" s="1"/>
      <c r="E124" s="1"/>
      <c r="F124" s="1"/>
      <c r="G124" s="1"/>
      <c r="H124" s="1"/>
      <c r="I124" s="1"/>
    </row>
    <row r="125" spans="2:9" x14ac:dyDescent="0.25">
      <c r="B125" s="1"/>
      <c r="C125" s="1"/>
      <c r="D125" s="1"/>
      <c r="E125" s="1"/>
      <c r="F125" s="1"/>
      <c r="G125" s="1"/>
      <c r="H125" s="1"/>
      <c r="I125" s="1"/>
    </row>
    <row r="126" spans="2:9" x14ac:dyDescent="0.25">
      <c r="B126" s="1"/>
      <c r="C126" s="1"/>
      <c r="D126" s="1"/>
      <c r="E126" s="1"/>
      <c r="F126" s="1"/>
      <c r="G126" s="1"/>
      <c r="H126" s="1"/>
      <c r="I126" s="1"/>
    </row>
    <row r="127" spans="2:9" x14ac:dyDescent="0.25">
      <c r="B127" s="1"/>
      <c r="C127" s="1"/>
      <c r="D127" s="1"/>
      <c r="E127" s="1"/>
      <c r="F127" s="1"/>
      <c r="G127" s="1"/>
      <c r="H127" s="1"/>
      <c r="I127" s="1"/>
    </row>
    <row r="128" spans="2:9" x14ac:dyDescent="0.25">
      <c r="B128" s="1"/>
      <c r="C128" s="1"/>
      <c r="D128" s="1"/>
      <c r="E128" s="1"/>
      <c r="F128" s="1"/>
      <c r="G128" s="1"/>
      <c r="H128" s="1"/>
      <c r="I128" s="1"/>
    </row>
    <row r="129" spans="2:9" x14ac:dyDescent="0.25">
      <c r="B129" s="1"/>
      <c r="C129" s="1"/>
      <c r="D129" s="1"/>
      <c r="E129" s="1"/>
      <c r="F129" s="1"/>
      <c r="G129" s="1"/>
      <c r="H129" s="1"/>
      <c r="I129" s="1"/>
    </row>
    <row r="130" spans="2:9" x14ac:dyDescent="0.25">
      <c r="B130" s="1"/>
      <c r="C130" s="1"/>
      <c r="D130" s="1"/>
      <c r="E130" s="1"/>
      <c r="F130" s="1"/>
      <c r="G130" s="1"/>
      <c r="H130" s="1"/>
      <c r="I130" s="1"/>
    </row>
    <row r="131" spans="2:9" x14ac:dyDescent="0.25">
      <c r="B131" s="1"/>
      <c r="C131" s="1"/>
      <c r="D131" s="1"/>
      <c r="E131" s="1"/>
      <c r="F131" s="1"/>
      <c r="G131" s="1"/>
      <c r="H131" s="1"/>
      <c r="I131" s="1"/>
    </row>
    <row r="132" spans="2:9" x14ac:dyDescent="0.25">
      <c r="B132" s="1"/>
      <c r="C132" s="1"/>
      <c r="D132" s="1"/>
      <c r="E132" s="1"/>
      <c r="F132" s="1"/>
      <c r="G132" s="1"/>
      <c r="H132" s="1"/>
      <c r="I132" s="1"/>
    </row>
    <row r="133" spans="2:9" x14ac:dyDescent="0.25">
      <c r="B133" s="1"/>
      <c r="C133" s="1"/>
      <c r="D133" s="1"/>
      <c r="E133" s="1"/>
      <c r="F133" s="1"/>
      <c r="G133" s="1"/>
      <c r="H133" s="1"/>
      <c r="I133" s="1"/>
    </row>
    <row r="134" spans="2:9" x14ac:dyDescent="0.25">
      <c r="B134" s="1"/>
      <c r="C134" s="1"/>
      <c r="D134" s="1"/>
      <c r="E134" s="1"/>
      <c r="F134" s="1"/>
      <c r="G134" s="1"/>
      <c r="H134" s="1"/>
      <c r="I134" s="1"/>
    </row>
    <row r="135" spans="2:9" x14ac:dyDescent="0.25">
      <c r="B135" s="1"/>
      <c r="C135" s="1"/>
      <c r="D135" s="1"/>
      <c r="E135" s="1"/>
      <c r="F135" s="1"/>
      <c r="G135" s="1"/>
      <c r="H135" s="1"/>
      <c r="I135" s="1"/>
    </row>
    <row r="136" spans="2:9" x14ac:dyDescent="0.25">
      <c r="B136" s="1"/>
      <c r="C136" s="1"/>
      <c r="D136" s="1"/>
      <c r="E136" s="1"/>
      <c r="F136" s="1"/>
      <c r="G136" s="1"/>
      <c r="H136" s="1"/>
      <c r="I136" s="1"/>
    </row>
    <row r="137" spans="2:9" x14ac:dyDescent="0.25">
      <c r="B137" s="1"/>
      <c r="C137" s="1"/>
      <c r="D137" s="1"/>
      <c r="E137" s="1"/>
      <c r="F137" s="1"/>
      <c r="G137" s="1"/>
      <c r="H137" s="1"/>
      <c r="I137" s="1"/>
    </row>
    <row r="138" spans="2:9" x14ac:dyDescent="0.25">
      <c r="B138" s="1"/>
      <c r="C138" s="1"/>
      <c r="D138" s="1"/>
      <c r="E138" s="1"/>
      <c r="F138" s="1"/>
      <c r="G138" s="1"/>
      <c r="H138" s="1"/>
      <c r="I138" s="1"/>
    </row>
    <row r="139" spans="2:9" x14ac:dyDescent="0.25">
      <c r="B139" s="1"/>
      <c r="C139" s="1"/>
      <c r="D139" s="1"/>
      <c r="E139" s="1"/>
      <c r="F139" s="1"/>
      <c r="G139" s="1"/>
      <c r="H139" s="1"/>
      <c r="I139" s="1"/>
    </row>
    <row r="140" spans="2:9" x14ac:dyDescent="0.25">
      <c r="B140" s="1"/>
      <c r="C140" s="1"/>
      <c r="D140" s="1"/>
      <c r="E140" s="1"/>
      <c r="F140" s="1"/>
      <c r="G140" s="1"/>
      <c r="H140" s="1"/>
      <c r="I140" s="1"/>
    </row>
    <row r="141" spans="2:9" x14ac:dyDescent="0.25">
      <c r="B141" s="1"/>
      <c r="C141" s="1"/>
      <c r="D141" s="1"/>
      <c r="E141" s="1"/>
      <c r="F141" s="1"/>
      <c r="G141" s="1"/>
      <c r="H141" s="1"/>
      <c r="I141" s="1"/>
    </row>
    <row r="142" spans="2:9" x14ac:dyDescent="0.25">
      <c r="B142" s="1"/>
      <c r="C142" s="1"/>
      <c r="D142" s="1"/>
      <c r="E142" s="1"/>
      <c r="F142" s="1"/>
      <c r="G142" s="1"/>
      <c r="H142" s="1"/>
      <c r="I142" s="1"/>
    </row>
    <row r="143" spans="2:9" x14ac:dyDescent="0.25">
      <c r="B143" s="1"/>
      <c r="C143" s="1"/>
      <c r="D143" s="1"/>
      <c r="E143" s="1"/>
      <c r="F143" s="1"/>
      <c r="G143" s="1"/>
      <c r="H143" s="1"/>
      <c r="I143" s="1"/>
    </row>
    <row r="144" spans="2:9" x14ac:dyDescent="0.25">
      <c r="B144" s="1"/>
      <c r="C144" s="1"/>
      <c r="D144" s="1"/>
      <c r="E144" s="1"/>
      <c r="F144" s="1"/>
      <c r="G144" s="1"/>
      <c r="H144" s="1"/>
      <c r="I144" s="1"/>
    </row>
    <row r="145" spans="2:9" x14ac:dyDescent="0.25">
      <c r="B145" s="1"/>
      <c r="C145" s="1"/>
      <c r="D145" s="1"/>
      <c r="E145" s="1"/>
      <c r="F145" s="1"/>
      <c r="G145" s="1"/>
      <c r="H145" s="1"/>
      <c r="I145" s="1"/>
    </row>
    <row r="146" spans="2:9" x14ac:dyDescent="0.25">
      <c r="B146" s="1"/>
      <c r="C146" s="1"/>
      <c r="D146" s="1"/>
      <c r="E146" s="1"/>
      <c r="F146" s="1"/>
      <c r="G146" s="1"/>
      <c r="H146" s="1"/>
      <c r="I146" s="1"/>
    </row>
    <row r="147" spans="2:9" x14ac:dyDescent="0.25">
      <c r="B147" s="1"/>
      <c r="C147" s="1"/>
      <c r="D147" s="1"/>
      <c r="E147" s="1"/>
      <c r="F147" s="1"/>
      <c r="G147" s="1"/>
      <c r="H147" s="1"/>
      <c r="I147" s="1"/>
    </row>
    <row r="148" spans="2:9" x14ac:dyDescent="0.25">
      <c r="B148" s="1"/>
      <c r="C148" s="1"/>
      <c r="D148" s="1"/>
      <c r="E148" s="1"/>
      <c r="F148" s="1"/>
      <c r="G148" s="1"/>
      <c r="H148" s="1"/>
      <c r="I148" s="1"/>
    </row>
    <row r="149" spans="2:9" x14ac:dyDescent="0.25">
      <c r="B149" s="1"/>
      <c r="C149" s="1"/>
      <c r="D149" s="1"/>
      <c r="E149" s="1"/>
      <c r="F149" s="1"/>
      <c r="G149" s="1"/>
      <c r="H149" s="1"/>
      <c r="I149" s="1"/>
    </row>
    <row r="150" spans="2:9" x14ac:dyDescent="0.25">
      <c r="B150" s="1"/>
      <c r="C150" s="1"/>
      <c r="D150" s="1"/>
      <c r="E150" s="1"/>
      <c r="F150" s="1"/>
      <c r="G150" s="1"/>
      <c r="H150" s="1"/>
      <c r="I150" s="1"/>
    </row>
    <row r="151" spans="2:9" x14ac:dyDescent="0.25">
      <c r="B151" s="1"/>
      <c r="C151" s="1"/>
      <c r="D151" s="1"/>
      <c r="E151" s="1"/>
      <c r="F151" s="1"/>
      <c r="G151" s="1"/>
      <c r="H151" s="1"/>
      <c r="I151" s="1"/>
    </row>
    <row r="152" spans="2:9" x14ac:dyDescent="0.25">
      <c r="B152" s="1"/>
      <c r="C152" s="1"/>
      <c r="D152" s="1"/>
      <c r="E152" s="1"/>
      <c r="F152" s="1"/>
      <c r="G152" s="1"/>
      <c r="H152" s="1"/>
      <c r="I152" s="1"/>
    </row>
    <row r="153" spans="2:9" x14ac:dyDescent="0.25">
      <c r="B153" s="1"/>
      <c r="C153" s="1"/>
      <c r="D153" s="1"/>
      <c r="E153" s="1"/>
      <c r="F153" s="1"/>
      <c r="G153" s="1"/>
      <c r="H153" s="1"/>
      <c r="I153" s="1"/>
    </row>
    <row r="154" spans="2:9" x14ac:dyDescent="0.25">
      <c r="B154" s="1"/>
      <c r="C154" s="1"/>
      <c r="D154" s="1"/>
      <c r="E154" s="1"/>
      <c r="F154" s="1"/>
      <c r="G154" s="1"/>
      <c r="H154" s="1"/>
      <c r="I154" s="1"/>
    </row>
    <row r="155" spans="2:9" x14ac:dyDescent="0.25">
      <c r="B155" s="1"/>
      <c r="C155" s="1"/>
      <c r="D155" s="1"/>
      <c r="E155" s="1"/>
      <c r="F155" s="1"/>
      <c r="G155" s="1"/>
      <c r="H155" s="1"/>
      <c r="I155" s="1"/>
    </row>
    <row r="156" spans="2:9" x14ac:dyDescent="0.25">
      <c r="B156" s="1"/>
      <c r="C156" s="1"/>
      <c r="D156" s="1"/>
      <c r="E156" s="1"/>
      <c r="F156" s="1"/>
      <c r="G156" s="1"/>
      <c r="H156" s="1"/>
      <c r="I156" s="1"/>
    </row>
    <row r="157" spans="2:9" x14ac:dyDescent="0.25">
      <c r="B157" s="1"/>
      <c r="C157" s="1"/>
      <c r="D157" s="1"/>
      <c r="E157" s="1"/>
      <c r="F157" s="1"/>
      <c r="G157" s="1"/>
      <c r="H157" s="1"/>
      <c r="I157" s="1"/>
    </row>
    <row r="158" spans="2:9" x14ac:dyDescent="0.25">
      <c r="B158" s="1"/>
      <c r="C158" s="1"/>
      <c r="D158" s="1"/>
      <c r="E158" s="1"/>
      <c r="F158" s="1"/>
      <c r="G158" s="1"/>
      <c r="H158" s="1"/>
      <c r="I158" s="1"/>
    </row>
    <row r="159" spans="2:9" x14ac:dyDescent="0.25">
      <c r="B159" s="1"/>
      <c r="C159" s="1"/>
      <c r="D159" s="1"/>
      <c r="E159" s="1"/>
      <c r="F159" s="1"/>
      <c r="G159" s="1"/>
      <c r="H159" s="1"/>
      <c r="I159" s="1"/>
    </row>
    <row r="160" spans="2:9" x14ac:dyDescent="0.25">
      <c r="B160" s="1"/>
      <c r="C160" s="1"/>
      <c r="D160" s="1"/>
      <c r="E160" s="1"/>
      <c r="F160" s="1"/>
      <c r="G160" s="1"/>
      <c r="H160" s="1"/>
      <c r="I160" s="1"/>
    </row>
    <row r="161" spans="2:9" x14ac:dyDescent="0.25">
      <c r="B161" s="1"/>
      <c r="C161" s="1"/>
      <c r="D161" s="1"/>
      <c r="E161" s="1"/>
      <c r="F161" s="1"/>
      <c r="G161" s="1"/>
      <c r="H161" s="1"/>
      <c r="I161" s="1"/>
    </row>
    <row r="162" spans="2:9" x14ac:dyDescent="0.25">
      <c r="B162" s="1"/>
      <c r="C162" s="1"/>
      <c r="D162" s="1"/>
      <c r="E162" s="1"/>
      <c r="F162" s="1"/>
      <c r="G162" s="1"/>
      <c r="H162" s="1"/>
      <c r="I162" s="1"/>
    </row>
    <row r="163" spans="2:9" x14ac:dyDescent="0.25">
      <c r="B163" s="1"/>
      <c r="C163" s="1"/>
      <c r="D163" s="1"/>
      <c r="E163" s="1"/>
      <c r="F163" s="1"/>
      <c r="G163" s="1"/>
      <c r="H163" s="1"/>
      <c r="I163" s="1"/>
    </row>
    <row r="164" spans="2:9" x14ac:dyDescent="0.25">
      <c r="B164" s="1"/>
      <c r="C164" s="1"/>
      <c r="D164" s="1"/>
      <c r="E164" s="1"/>
      <c r="F164" s="1"/>
      <c r="G164" s="1"/>
      <c r="H164" s="1"/>
      <c r="I164" s="1"/>
    </row>
    <row r="165" spans="2:9" x14ac:dyDescent="0.25">
      <c r="B165" s="1"/>
      <c r="C165" s="1"/>
      <c r="D165" s="1"/>
      <c r="E165" s="1"/>
      <c r="F165" s="1"/>
      <c r="G165" s="1"/>
      <c r="H165" s="1"/>
      <c r="I165" s="1"/>
    </row>
    <row r="166" spans="2:9" x14ac:dyDescent="0.25">
      <c r="B166" s="1"/>
      <c r="C166" s="1"/>
      <c r="D166" s="1"/>
      <c r="E166" s="1"/>
      <c r="F166" s="1"/>
      <c r="G166" s="1"/>
      <c r="H166" s="1"/>
      <c r="I166" s="1"/>
    </row>
    <row r="167" spans="2:9" x14ac:dyDescent="0.25">
      <c r="B167" s="1"/>
      <c r="C167" s="1"/>
      <c r="D167" s="1"/>
      <c r="E167" s="1"/>
      <c r="F167" s="1"/>
      <c r="G167" s="1"/>
      <c r="H167" s="1"/>
      <c r="I167" s="1"/>
    </row>
    <row r="168" spans="2:9" x14ac:dyDescent="0.25">
      <c r="B168" s="1"/>
      <c r="C168" s="1"/>
      <c r="D168" s="1"/>
      <c r="E168" s="1"/>
      <c r="F168" s="1"/>
      <c r="G168" s="1"/>
      <c r="H168" s="1"/>
      <c r="I168" s="1"/>
    </row>
    <row r="169" spans="2:9" x14ac:dyDescent="0.25">
      <c r="B169" s="1"/>
      <c r="C169" s="1"/>
      <c r="D169" s="1"/>
      <c r="E169" s="1"/>
      <c r="F169" s="1"/>
      <c r="G169" s="1"/>
      <c r="H169" s="1"/>
      <c r="I169" s="1"/>
    </row>
    <row r="170" spans="2:9" x14ac:dyDescent="0.25">
      <c r="B170" s="1"/>
      <c r="C170" s="1"/>
      <c r="D170" s="1"/>
      <c r="E170" s="1"/>
      <c r="F170" s="1"/>
      <c r="G170" s="1"/>
      <c r="H170" s="1"/>
      <c r="I170" s="1"/>
    </row>
    <row r="171" spans="2:9" x14ac:dyDescent="0.25">
      <c r="B171" s="1"/>
      <c r="C171" s="1"/>
      <c r="D171" s="1"/>
      <c r="E171" s="1"/>
      <c r="F171" s="1"/>
      <c r="G171" s="1"/>
      <c r="H171" s="1"/>
      <c r="I171" s="1"/>
    </row>
    <row r="172" spans="2:9" x14ac:dyDescent="0.25">
      <c r="B172" s="1"/>
      <c r="C172" s="1"/>
      <c r="D172" s="1"/>
      <c r="E172" s="1"/>
      <c r="F172" s="1"/>
      <c r="G172" s="1"/>
      <c r="H172" s="1"/>
      <c r="I172" s="1"/>
    </row>
    <row r="173" spans="2:9" x14ac:dyDescent="0.25">
      <c r="B173" s="1"/>
      <c r="C173" s="1"/>
      <c r="D173" s="1"/>
      <c r="E173" s="1"/>
      <c r="F173" s="1"/>
      <c r="G173" s="1"/>
      <c r="H173" s="1"/>
      <c r="I173" s="1"/>
    </row>
    <row r="174" spans="2:9" x14ac:dyDescent="0.25">
      <c r="B174" s="1"/>
      <c r="C174" s="1"/>
      <c r="D174" s="1"/>
      <c r="E174" s="1"/>
      <c r="F174" s="1"/>
      <c r="G174" s="1"/>
      <c r="H174" s="1"/>
      <c r="I174" s="1"/>
    </row>
    <row r="175" spans="2:9" x14ac:dyDescent="0.25">
      <c r="B175" s="1"/>
      <c r="C175" s="1"/>
      <c r="D175" s="1"/>
      <c r="E175" s="1"/>
      <c r="F175" s="1"/>
      <c r="G175" s="1"/>
      <c r="H175" s="1"/>
      <c r="I175" s="1"/>
    </row>
    <row r="176" spans="2:9" x14ac:dyDescent="0.25">
      <c r="B176" s="1"/>
      <c r="C176" s="1"/>
      <c r="D176" s="1"/>
      <c r="E176" s="1"/>
      <c r="F176" s="1"/>
      <c r="G176" s="1"/>
      <c r="H176" s="1"/>
      <c r="I176" s="1"/>
    </row>
    <row r="177" spans="2:9" x14ac:dyDescent="0.25">
      <c r="B177" s="1"/>
      <c r="C177" s="1"/>
      <c r="D177" s="1"/>
      <c r="E177" s="1"/>
      <c r="F177" s="1"/>
      <c r="G177" s="1"/>
      <c r="H177" s="1"/>
      <c r="I177" s="1"/>
    </row>
    <row r="178" spans="2:9" x14ac:dyDescent="0.25">
      <c r="B178" s="1"/>
      <c r="C178" s="1"/>
      <c r="D178" s="1"/>
      <c r="E178" s="1"/>
      <c r="F178" s="1"/>
      <c r="G178" s="1"/>
      <c r="H178" s="1"/>
      <c r="I178" s="1"/>
    </row>
    <row r="179" spans="2:9" x14ac:dyDescent="0.25">
      <c r="B179" s="1"/>
      <c r="C179" s="1"/>
      <c r="D179" s="1"/>
      <c r="E179" s="1"/>
      <c r="F179" s="1"/>
      <c r="G179" s="1"/>
      <c r="H179" s="1"/>
      <c r="I179" s="1"/>
    </row>
    <row r="180" spans="2:9" x14ac:dyDescent="0.25">
      <c r="B180" s="1"/>
      <c r="C180" s="1"/>
      <c r="D180" s="1"/>
      <c r="E180" s="1"/>
      <c r="F180" s="1"/>
      <c r="G180" s="1"/>
      <c r="H180" s="1"/>
      <c r="I180" s="1"/>
    </row>
    <row r="181" spans="2:9" x14ac:dyDescent="0.25">
      <c r="B181" s="1"/>
      <c r="C181" s="1"/>
      <c r="D181" s="1"/>
      <c r="E181" s="1"/>
      <c r="F181" s="1"/>
      <c r="G181" s="1"/>
      <c r="H181" s="1"/>
      <c r="I181" s="1"/>
    </row>
    <row r="182" spans="2:9" x14ac:dyDescent="0.25">
      <c r="B182" s="1"/>
      <c r="C182" s="1"/>
      <c r="D182" s="1"/>
      <c r="E182" s="1"/>
      <c r="F182" s="1"/>
      <c r="G182" s="1"/>
      <c r="H182" s="1"/>
      <c r="I182" s="1"/>
    </row>
    <row r="183" spans="2:9" x14ac:dyDescent="0.25">
      <c r="B183" s="1"/>
      <c r="C183" s="1"/>
      <c r="D183" s="1"/>
      <c r="E183" s="1"/>
      <c r="F183" s="1"/>
      <c r="G183" s="1"/>
      <c r="H183" s="1"/>
      <c r="I183" s="1"/>
    </row>
    <row r="184" spans="2:9" x14ac:dyDescent="0.25">
      <c r="B184" s="1"/>
      <c r="C184" s="1"/>
      <c r="D184" s="1"/>
      <c r="E184" s="1"/>
      <c r="F184" s="1"/>
      <c r="G184" s="1"/>
      <c r="H184" s="1"/>
      <c r="I184" s="1"/>
    </row>
    <row r="185" spans="2:9" x14ac:dyDescent="0.25">
      <c r="B185" s="1"/>
      <c r="C185" s="1"/>
      <c r="D185" s="1"/>
      <c r="E185" s="1"/>
      <c r="F185" s="1"/>
      <c r="G185" s="1"/>
      <c r="H185" s="1"/>
      <c r="I185" s="1"/>
    </row>
    <row r="186" spans="2:9" x14ac:dyDescent="0.25">
      <c r="B186" s="1"/>
      <c r="C186" s="1"/>
      <c r="D186" s="1"/>
      <c r="E186" s="1"/>
      <c r="F186" s="1"/>
      <c r="G186" s="1"/>
      <c r="H186" s="1"/>
      <c r="I186" s="1"/>
    </row>
    <row r="187" spans="2:9" x14ac:dyDescent="0.25">
      <c r="B187" s="1"/>
      <c r="C187" s="1"/>
      <c r="D187" s="1"/>
      <c r="E187" s="1"/>
      <c r="F187" s="1"/>
      <c r="G187" s="1"/>
      <c r="H187" s="1"/>
      <c r="I187" s="1"/>
    </row>
    <row r="188" spans="2:9" x14ac:dyDescent="0.25">
      <c r="B188" s="1"/>
      <c r="C188" s="1"/>
      <c r="D188" s="1"/>
      <c r="E188" s="1"/>
      <c r="F188" s="1"/>
      <c r="G188" s="1"/>
      <c r="H188" s="1"/>
      <c r="I188" s="1"/>
    </row>
    <row r="189" spans="2:9" x14ac:dyDescent="0.25">
      <c r="B189" s="1"/>
      <c r="C189" s="1"/>
      <c r="D189" s="1"/>
      <c r="E189" s="1"/>
      <c r="F189" s="1"/>
      <c r="G189" s="1"/>
      <c r="H189" s="1"/>
      <c r="I189" s="1"/>
    </row>
    <row r="190" spans="2:9" x14ac:dyDescent="0.25">
      <c r="B190" s="1"/>
      <c r="C190" s="1"/>
      <c r="D190" s="1"/>
      <c r="E190" s="1"/>
      <c r="F190" s="1"/>
      <c r="G190" s="1"/>
      <c r="H190" s="1"/>
      <c r="I190" s="1"/>
    </row>
    <row r="191" spans="2:9" x14ac:dyDescent="0.25">
      <c r="B191" s="1"/>
      <c r="C191" s="1"/>
      <c r="D191" s="1"/>
      <c r="E191" s="1"/>
      <c r="F191" s="1"/>
      <c r="G191" s="1"/>
      <c r="H191" s="1"/>
      <c r="I191" s="1"/>
    </row>
    <row r="192" spans="2:9" x14ac:dyDescent="0.25">
      <c r="B192" s="1"/>
      <c r="C192" s="1"/>
      <c r="D192" s="1"/>
      <c r="E192" s="1"/>
      <c r="F192" s="1"/>
      <c r="G192" s="1"/>
      <c r="H192" s="1"/>
      <c r="I192" s="1"/>
    </row>
    <row r="193" spans="2:9" x14ac:dyDescent="0.25">
      <c r="B193" s="1"/>
      <c r="C193" s="1"/>
      <c r="D193" s="1"/>
      <c r="E193" s="1"/>
      <c r="F193" s="1"/>
      <c r="G193" s="1"/>
      <c r="H193" s="1"/>
      <c r="I193" s="1"/>
    </row>
    <row r="194" spans="2:9" x14ac:dyDescent="0.25">
      <c r="B194" s="1"/>
      <c r="C194" s="1"/>
      <c r="D194" s="1"/>
      <c r="E194" s="1"/>
      <c r="F194" s="1"/>
      <c r="G194" s="1"/>
      <c r="H194" s="1"/>
      <c r="I194" s="1"/>
    </row>
    <row r="195" spans="2:9" x14ac:dyDescent="0.25">
      <c r="B195" s="1"/>
      <c r="C195" s="1"/>
      <c r="D195" s="1"/>
      <c r="E195" s="1"/>
      <c r="F195" s="1"/>
      <c r="G195" s="1"/>
      <c r="H195" s="1"/>
      <c r="I195" s="1"/>
    </row>
    <row r="196" spans="2:9" x14ac:dyDescent="0.25">
      <c r="B196" s="1"/>
      <c r="C196" s="1"/>
      <c r="D196" s="1"/>
      <c r="E196" s="1"/>
      <c r="F196" s="1"/>
      <c r="G196" s="1"/>
      <c r="H196" s="1"/>
      <c r="I196" s="1"/>
    </row>
    <row r="197" spans="2:9" x14ac:dyDescent="0.25">
      <c r="B197" s="1"/>
      <c r="C197" s="1"/>
      <c r="D197" s="1"/>
      <c r="E197" s="1"/>
      <c r="F197" s="1"/>
      <c r="G197" s="1"/>
      <c r="H197" s="1"/>
      <c r="I197" s="1"/>
    </row>
    <row r="198" spans="2:9" x14ac:dyDescent="0.25">
      <c r="B198" s="1"/>
      <c r="C198" s="1"/>
      <c r="D198" s="1"/>
      <c r="E198" s="1"/>
      <c r="F198" s="1"/>
      <c r="G198" s="1"/>
      <c r="H198" s="1"/>
      <c r="I198" s="1"/>
    </row>
    <row r="199" spans="2:9" x14ac:dyDescent="0.25">
      <c r="B199" s="1"/>
      <c r="C199" s="1"/>
      <c r="D199" s="1"/>
      <c r="E199" s="1"/>
      <c r="F199" s="1"/>
      <c r="G199" s="1"/>
      <c r="H199" s="1"/>
      <c r="I199" s="1"/>
    </row>
    <row r="200" spans="2:9" x14ac:dyDescent="0.25">
      <c r="B200" s="1"/>
      <c r="C200" s="1"/>
      <c r="D200" s="1"/>
      <c r="E200" s="1"/>
      <c r="F200" s="1"/>
      <c r="G200" s="1"/>
      <c r="H200" s="1"/>
      <c r="I200" s="1"/>
    </row>
    <row r="201" spans="2:9" x14ac:dyDescent="0.25">
      <c r="B201" s="1"/>
      <c r="C201" s="1"/>
      <c r="D201" s="1"/>
      <c r="E201" s="1"/>
      <c r="F201" s="1"/>
      <c r="G201" s="1"/>
      <c r="H201" s="1"/>
      <c r="I201" s="1"/>
    </row>
    <row r="202" spans="2:9" x14ac:dyDescent="0.25">
      <c r="B202" s="1"/>
      <c r="C202" s="1"/>
      <c r="D202" s="1"/>
      <c r="E202" s="1"/>
      <c r="F202" s="1"/>
      <c r="G202" s="1"/>
      <c r="H202" s="1"/>
      <c r="I202" s="1"/>
    </row>
    <row r="203" spans="2:9" x14ac:dyDescent="0.25">
      <c r="B203" s="1"/>
      <c r="C203" s="1"/>
      <c r="D203" s="1"/>
      <c r="E203" s="1"/>
      <c r="F203" s="1"/>
      <c r="G203" s="1"/>
      <c r="H203" s="1"/>
      <c r="I203" s="1"/>
    </row>
    <row r="204" spans="2:9" x14ac:dyDescent="0.25">
      <c r="B204" s="1"/>
      <c r="C204" s="1"/>
      <c r="D204" s="1"/>
      <c r="E204" s="1"/>
      <c r="F204" s="1"/>
      <c r="G204" s="1"/>
      <c r="H204" s="1"/>
      <c r="I204" s="1"/>
    </row>
    <row r="205" spans="2:9" x14ac:dyDescent="0.25">
      <c r="B205" s="1"/>
      <c r="C205" s="1"/>
      <c r="D205" s="1"/>
      <c r="E205" s="1"/>
      <c r="F205" s="1"/>
      <c r="G205" s="1"/>
      <c r="H205" s="1"/>
      <c r="I205" s="1"/>
    </row>
    <row r="206" spans="2:9" x14ac:dyDescent="0.25">
      <c r="B206" s="1"/>
      <c r="C206" s="1"/>
      <c r="D206" s="1"/>
      <c r="E206" s="1"/>
      <c r="F206" s="1"/>
      <c r="G206" s="1"/>
      <c r="H206" s="1"/>
      <c r="I206" s="1"/>
    </row>
    <row r="207" spans="2:9" x14ac:dyDescent="0.25">
      <c r="B207" s="1"/>
      <c r="C207" s="1"/>
      <c r="D207" s="1"/>
      <c r="E207" s="1"/>
      <c r="F207" s="1"/>
      <c r="G207" s="1"/>
      <c r="H207" s="1"/>
      <c r="I207" s="1"/>
    </row>
    <row r="208" spans="2:9" x14ac:dyDescent="0.25">
      <c r="B208" s="1"/>
      <c r="C208" s="1"/>
      <c r="D208" s="1"/>
      <c r="E208" s="1"/>
      <c r="F208" s="1"/>
      <c r="G208" s="1"/>
      <c r="H208" s="1"/>
      <c r="I208" s="1"/>
    </row>
    <row r="209" spans="2:9" x14ac:dyDescent="0.25">
      <c r="B209" s="1"/>
      <c r="C209" s="1"/>
      <c r="D209" s="1"/>
      <c r="E209" s="1"/>
      <c r="F209" s="1"/>
      <c r="G209" s="1"/>
      <c r="H209" s="1"/>
      <c r="I209" s="1"/>
    </row>
    <row r="210" spans="2:9" x14ac:dyDescent="0.25">
      <c r="B210" s="1"/>
      <c r="C210" s="1"/>
      <c r="D210" s="1"/>
      <c r="E210" s="1"/>
      <c r="F210" s="1"/>
      <c r="G210" s="1"/>
      <c r="H210" s="1"/>
      <c r="I210" s="1"/>
    </row>
    <row r="211" spans="2:9" x14ac:dyDescent="0.25">
      <c r="B211" s="1"/>
      <c r="C211" s="1"/>
      <c r="D211" s="1"/>
      <c r="E211" s="1"/>
      <c r="F211" s="1"/>
      <c r="G211" s="1"/>
      <c r="H211" s="1"/>
      <c r="I211" s="1"/>
    </row>
    <row r="212" spans="2:9" x14ac:dyDescent="0.25">
      <c r="B212" s="1"/>
      <c r="C212" s="1"/>
      <c r="D212" s="1"/>
      <c r="E212" s="1"/>
      <c r="F212" s="1"/>
      <c r="G212" s="1"/>
      <c r="H212" s="1"/>
      <c r="I212" s="1"/>
    </row>
    <row r="213" spans="2:9" x14ac:dyDescent="0.25">
      <c r="B213" s="1"/>
      <c r="C213" s="1"/>
      <c r="D213" s="1"/>
      <c r="E213" s="1"/>
      <c r="F213" s="1"/>
      <c r="G213" s="1"/>
      <c r="H213" s="1"/>
      <c r="I213" s="1"/>
    </row>
    <row r="214" spans="2:9" x14ac:dyDescent="0.25">
      <c r="B214" s="1"/>
      <c r="C214" s="1"/>
      <c r="D214" s="1"/>
      <c r="E214" s="1"/>
      <c r="F214" s="1"/>
      <c r="G214" s="1"/>
      <c r="H214" s="1"/>
      <c r="I214" s="1"/>
    </row>
    <row r="215" spans="2:9" x14ac:dyDescent="0.25">
      <c r="B215" s="1"/>
      <c r="C215" s="1"/>
      <c r="D215" s="1"/>
      <c r="E215" s="1"/>
      <c r="F215" s="1"/>
      <c r="G215" s="1"/>
      <c r="H215" s="1"/>
      <c r="I215" s="1"/>
    </row>
    <row r="216" spans="2:9" x14ac:dyDescent="0.25">
      <c r="B216" s="1"/>
      <c r="C216" s="1"/>
      <c r="D216" s="1"/>
      <c r="E216" s="1"/>
      <c r="F216" s="1"/>
      <c r="G216" s="1"/>
      <c r="H216" s="1"/>
      <c r="I216" s="1"/>
    </row>
    <row r="217" spans="2:9" x14ac:dyDescent="0.25">
      <c r="B217" s="1"/>
      <c r="C217" s="1"/>
      <c r="D217" s="1"/>
      <c r="E217" s="1"/>
      <c r="F217" s="1"/>
      <c r="G217" s="1"/>
      <c r="H217" s="1"/>
      <c r="I217" s="1"/>
    </row>
    <row r="218" spans="2:9" x14ac:dyDescent="0.25">
      <c r="B218" s="1"/>
      <c r="C218" s="1"/>
      <c r="D218" s="1"/>
      <c r="E218" s="1"/>
      <c r="F218" s="1"/>
      <c r="G218" s="1"/>
      <c r="H218" s="1"/>
      <c r="I218" s="1"/>
    </row>
    <row r="219" spans="2:9" x14ac:dyDescent="0.25">
      <c r="B219" s="1"/>
      <c r="C219" s="1"/>
      <c r="D219" s="1"/>
      <c r="E219" s="1"/>
      <c r="F219" s="1"/>
      <c r="G219" s="1"/>
      <c r="H219" s="1"/>
      <c r="I219" s="1"/>
    </row>
    <row r="220" spans="2:9" x14ac:dyDescent="0.25">
      <c r="B220" s="1"/>
      <c r="C220" s="1"/>
      <c r="D220" s="1"/>
      <c r="E220" s="1"/>
      <c r="F220" s="1"/>
      <c r="G220" s="1"/>
      <c r="H220" s="1"/>
      <c r="I220" s="1"/>
    </row>
    <row r="221" spans="2:9" x14ac:dyDescent="0.25">
      <c r="B221" s="1"/>
      <c r="C221" s="1"/>
      <c r="D221" s="1"/>
      <c r="E221" s="1"/>
      <c r="F221" s="1"/>
      <c r="G221" s="1"/>
      <c r="H221" s="1"/>
      <c r="I221" s="1"/>
    </row>
    <row r="222" spans="2:9" x14ac:dyDescent="0.25">
      <c r="B222" s="1"/>
      <c r="C222" s="1"/>
      <c r="D222" s="1"/>
      <c r="E222" s="1"/>
      <c r="F222" s="1"/>
      <c r="G222" s="1"/>
      <c r="H222" s="1"/>
      <c r="I222" s="1"/>
    </row>
    <row r="223" spans="2:9" x14ac:dyDescent="0.25">
      <c r="B223" s="1"/>
      <c r="C223" s="1"/>
      <c r="D223" s="1"/>
      <c r="E223" s="1"/>
      <c r="F223" s="1"/>
      <c r="G223" s="1"/>
      <c r="H223" s="1"/>
      <c r="I223" s="1"/>
    </row>
    <row r="224" spans="2:9" x14ac:dyDescent="0.25">
      <c r="B224" s="1"/>
      <c r="C224" s="1"/>
      <c r="D224" s="1"/>
      <c r="E224" s="1"/>
      <c r="F224" s="1"/>
      <c r="G224" s="1"/>
      <c r="H224" s="1"/>
      <c r="I224" s="1"/>
    </row>
    <row r="225" spans="2:9" x14ac:dyDescent="0.25">
      <c r="B225" s="1"/>
      <c r="C225" s="1"/>
      <c r="D225" s="1"/>
      <c r="E225" s="1"/>
      <c r="F225" s="1"/>
      <c r="G225" s="1"/>
      <c r="H225" s="1"/>
      <c r="I225" s="1"/>
    </row>
    <row r="226" spans="2:9" x14ac:dyDescent="0.25">
      <c r="B226" s="1"/>
      <c r="C226" s="1"/>
      <c r="D226" s="1"/>
      <c r="E226" s="1"/>
      <c r="F226" s="1"/>
      <c r="G226" s="1"/>
      <c r="H226" s="1"/>
      <c r="I226" s="1"/>
    </row>
    <row r="227" spans="2:9" x14ac:dyDescent="0.25">
      <c r="B227" s="1"/>
      <c r="C227" s="1"/>
      <c r="D227" s="1"/>
      <c r="E227" s="1"/>
      <c r="F227" s="1"/>
      <c r="G227" s="1"/>
      <c r="H227" s="1"/>
      <c r="I227" s="1"/>
    </row>
    <row r="228" spans="2:9" x14ac:dyDescent="0.25">
      <c r="B228" s="1"/>
      <c r="C228" s="1"/>
      <c r="D228" s="1"/>
      <c r="E228" s="1"/>
      <c r="F228" s="1"/>
      <c r="G228" s="1"/>
      <c r="H228" s="1"/>
      <c r="I228" s="1"/>
    </row>
    <row r="229" spans="2:9" x14ac:dyDescent="0.25">
      <c r="B229" s="1"/>
      <c r="C229" s="1"/>
      <c r="D229" s="1"/>
      <c r="E229" s="1"/>
      <c r="F229" s="1"/>
      <c r="G229" s="1"/>
      <c r="H229" s="1"/>
      <c r="I229" s="1"/>
    </row>
    <row r="230" spans="2:9" x14ac:dyDescent="0.25">
      <c r="B230" s="1"/>
      <c r="C230" s="1"/>
      <c r="D230" s="1"/>
      <c r="E230" s="1"/>
      <c r="F230" s="1"/>
      <c r="G230" s="1"/>
      <c r="H230" s="1"/>
      <c r="I230" s="1"/>
    </row>
    <row r="231" spans="2:9" x14ac:dyDescent="0.25">
      <c r="B231" s="1"/>
      <c r="C231" s="1"/>
      <c r="D231" s="1"/>
      <c r="E231" s="1"/>
      <c r="F231" s="1"/>
      <c r="G231" s="1"/>
      <c r="H231" s="1"/>
      <c r="I231" s="1"/>
    </row>
    <row r="232" spans="2:9" x14ac:dyDescent="0.25">
      <c r="B232" s="1"/>
      <c r="C232" s="1"/>
      <c r="D232" s="1"/>
      <c r="E232" s="1"/>
      <c r="F232" s="1"/>
      <c r="G232" s="1"/>
      <c r="H232" s="1"/>
      <c r="I232" s="1"/>
    </row>
    <row r="233" spans="2:9" x14ac:dyDescent="0.25">
      <c r="B233" s="1"/>
      <c r="C233" s="1"/>
      <c r="D233" s="1"/>
      <c r="E233" s="1"/>
      <c r="F233" s="1"/>
      <c r="G233" s="1"/>
      <c r="H233" s="1"/>
      <c r="I233" s="1"/>
    </row>
    <row r="234" spans="2:9" x14ac:dyDescent="0.25">
      <c r="B234" s="1"/>
      <c r="C234" s="1"/>
      <c r="D234" s="1"/>
      <c r="E234" s="1"/>
      <c r="F234" s="1"/>
      <c r="G234" s="1"/>
      <c r="H234" s="1"/>
      <c r="I234" s="1"/>
    </row>
    <row r="235" spans="2:9" x14ac:dyDescent="0.25">
      <c r="B235" s="1"/>
      <c r="C235" s="1"/>
      <c r="D235" s="1"/>
      <c r="E235" s="1"/>
      <c r="F235" s="1"/>
      <c r="G235" s="1"/>
      <c r="H235" s="1"/>
      <c r="I235" s="1"/>
    </row>
    <row r="236" spans="2:9" x14ac:dyDescent="0.25">
      <c r="B236" s="1"/>
      <c r="C236" s="1"/>
      <c r="D236" s="1"/>
      <c r="E236" s="1"/>
      <c r="F236" s="1"/>
      <c r="G236" s="1"/>
      <c r="H236" s="1"/>
      <c r="I236" s="1"/>
    </row>
    <row r="237" spans="2:9" x14ac:dyDescent="0.25">
      <c r="B237" s="1"/>
      <c r="C237" s="1"/>
      <c r="D237" s="1"/>
      <c r="E237" s="1"/>
      <c r="F237" s="1"/>
      <c r="G237" s="1"/>
      <c r="H237" s="1"/>
      <c r="I237" s="1"/>
    </row>
    <row r="238" spans="2:9" x14ac:dyDescent="0.25">
      <c r="B238" s="1"/>
      <c r="C238" s="1"/>
      <c r="D238" s="1"/>
      <c r="E238" s="1"/>
      <c r="F238" s="1"/>
      <c r="G238" s="1"/>
      <c r="H238" s="1"/>
      <c r="I238" s="1"/>
    </row>
    <row r="239" spans="2:9" x14ac:dyDescent="0.25">
      <c r="B239" s="1"/>
      <c r="C239" s="1"/>
      <c r="D239" s="1"/>
      <c r="E239" s="1"/>
      <c r="F239" s="1"/>
      <c r="G239" s="1"/>
      <c r="H239" s="1"/>
      <c r="I239" s="1"/>
    </row>
    <row r="240" spans="2:9" x14ac:dyDescent="0.25">
      <c r="B240" s="1"/>
      <c r="C240" s="1"/>
      <c r="D240" s="1"/>
      <c r="E240" s="1"/>
      <c r="F240" s="1"/>
      <c r="G240" s="1"/>
      <c r="H240" s="1"/>
      <c r="I240" s="1"/>
    </row>
    <row r="241" spans="2:9" x14ac:dyDescent="0.25">
      <c r="B241" s="1"/>
      <c r="C241" s="1"/>
      <c r="D241" s="1"/>
      <c r="E241" s="1"/>
      <c r="F241" s="1"/>
      <c r="G241" s="1"/>
      <c r="H241" s="1"/>
      <c r="I241" s="1"/>
    </row>
    <row r="242" spans="2:9" x14ac:dyDescent="0.25">
      <c r="B242" s="1"/>
      <c r="C242" s="1"/>
      <c r="D242" s="1"/>
      <c r="E242" s="1"/>
      <c r="F242" s="1"/>
      <c r="G242" s="1"/>
      <c r="H242" s="1"/>
      <c r="I242" s="1"/>
    </row>
    <row r="243" spans="2:9" x14ac:dyDescent="0.25">
      <c r="B243" s="1"/>
      <c r="C243" s="1"/>
      <c r="D243" s="1"/>
      <c r="E243" s="1"/>
      <c r="F243" s="1"/>
      <c r="G243" s="1"/>
      <c r="H243" s="1"/>
      <c r="I243" s="1"/>
    </row>
    <row r="244" spans="2:9" x14ac:dyDescent="0.25">
      <c r="B244" s="1"/>
      <c r="C244" s="1"/>
      <c r="D244" s="1"/>
      <c r="E244" s="1"/>
      <c r="F244" s="1"/>
      <c r="G244" s="1"/>
      <c r="H244" s="1"/>
      <c r="I244" s="1"/>
    </row>
    <row r="245" spans="2:9" x14ac:dyDescent="0.25">
      <c r="B245" s="1"/>
      <c r="C245" s="1"/>
      <c r="D245" s="1"/>
      <c r="E245" s="1"/>
      <c r="F245" s="1"/>
      <c r="G245" s="1"/>
      <c r="H245" s="1"/>
      <c r="I245" s="1"/>
    </row>
    <row r="246" spans="2:9" x14ac:dyDescent="0.25">
      <c r="B246" s="1"/>
      <c r="C246" s="1"/>
      <c r="D246" s="1"/>
      <c r="E246" s="1"/>
      <c r="F246" s="1"/>
      <c r="G246" s="1"/>
      <c r="H246" s="1"/>
      <c r="I246" s="1"/>
    </row>
    <row r="247" spans="2:9" x14ac:dyDescent="0.25">
      <c r="B247" s="1"/>
      <c r="C247" s="1"/>
      <c r="D247" s="1"/>
      <c r="E247" s="1"/>
      <c r="F247" s="1"/>
      <c r="G247" s="1"/>
      <c r="H247" s="1"/>
      <c r="I247" s="1"/>
    </row>
    <row r="248" spans="2:9" x14ac:dyDescent="0.25">
      <c r="B248" s="1"/>
      <c r="C248" s="1"/>
      <c r="D248" s="1"/>
      <c r="E248" s="1"/>
      <c r="F248" s="1"/>
      <c r="G248" s="1"/>
      <c r="H248" s="1"/>
      <c r="I248" s="1"/>
    </row>
    <row r="249" spans="2:9" x14ac:dyDescent="0.25">
      <c r="B249" s="1"/>
      <c r="C249" s="1"/>
      <c r="D249" s="1"/>
      <c r="E249" s="1"/>
      <c r="F249" s="1"/>
      <c r="G249" s="1"/>
      <c r="H249" s="1"/>
      <c r="I249" s="1"/>
    </row>
    <row r="250" spans="2:9" x14ac:dyDescent="0.25">
      <c r="B250" s="1"/>
      <c r="C250" s="1"/>
      <c r="D250" s="1"/>
      <c r="E250" s="1"/>
      <c r="F250" s="1"/>
      <c r="G250" s="1"/>
      <c r="H250" s="1"/>
      <c r="I250" s="1"/>
    </row>
    <row r="251" spans="2:9" x14ac:dyDescent="0.25">
      <c r="B251" s="1"/>
      <c r="C251" s="1"/>
      <c r="D251" s="1"/>
      <c r="E251" s="1"/>
      <c r="F251" s="1"/>
      <c r="G251" s="1"/>
      <c r="H251" s="1"/>
      <c r="I251" s="1"/>
    </row>
    <row r="252" spans="2:9" x14ac:dyDescent="0.25">
      <c r="B252" s="1"/>
      <c r="C252" s="1"/>
      <c r="D252" s="1"/>
      <c r="E252" s="1"/>
      <c r="F252" s="1"/>
      <c r="G252" s="1"/>
      <c r="H252" s="1"/>
      <c r="I252" s="1"/>
    </row>
    <row r="253" spans="2:9" x14ac:dyDescent="0.25">
      <c r="B253" s="1"/>
      <c r="C253" s="1"/>
      <c r="D253" s="1"/>
      <c r="E253" s="1"/>
      <c r="F253" s="1"/>
      <c r="G253" s="1"/>
      <c r="H253" s="1"/>
      <c r="I253" s="1"/>
    </row>
    <row r="254" spans="2:9" x14ac:dyDescent="0.25">
      <c r="B254" s="1"/>
      <c r="C254" s="1"/>
      <c r="D254" s="1"/>
      <c r="E254" s="1"/>
      <c r="F254" s="1"/>
      <c r="G254" s="1"/>
      <c r="H254" s="1"/>
      <c r="I254" s="1"/>
    </row>
    <row r="255" spans="2:9" x14ac:dyDescent="0.25">
      <c r="B255" s="1"/>
      <c r="C255" s="1"/>
      <c r="D255" s="1"/>
      <c r="E255" s="1"/>
      <c r="F255" s="1"/>
      <c r="G255" s="1"/>
      <c r="H255" s="1"/>
      <c r="I255" s="1"/>
    </row>
    <row r="256" spans="2:9" x14ac:dyDescent="0.25">
      <c r="B256" s="1"/>
      <c r="C256" s="1"/>
      <c r="D256" s="1"/>
      <c r="E256" s="1"/>
      <c r="F256" s="1"/>
      <c r="G256" s="1"/>
      <c r="H256" s="1"/>
      <c r="I256" s="1"/>
    </row>
    <row r="257" spans="2:9" x14ac:dyDescent="0.25">
      <c r="B257" s="1"/>
      <c r="C257" s="1"/>
      <c r="D257" s="1"/>
      <c r="E257" s="1"/>
      <c r="F257" s="1"/>
      <c r="G257" s="1"/>
      <c r="H257" s="1"/>
      <c r="I257" s="1"/>
    </row>
    <row r="258" spans="2:9" x14ac:dyDescent="0.25">
      <c r="B258" s="1"/>
      <c r="C258" s="1"/>
      <c r="D258" s="1"/>
      <c r="E258" s="1"/>
      <c r="F258" s="1"/>
      <c r="G258" s="1"/>
      <c r="H258" s="1"/>
      <c r="I258" s="1"/>
    </row>
    <row r="259" spans="2:9" x14ac:dyDescent="0.25">
      <c r="B259" s="1"/>
      <c r="C259" s="1"/>
      <c r="D259" s="1"/>
      <c r="E259" s="1"/>
      <c r="F259" s="1"/>
      <c r="G259" s="1"/>
      <c r="H259" s="1"/>
      <c r="I259" s="1"/>
    </row>
    <row r="260" spans="2:9" x14ac:dyDescent="0.25">
      <c r="B260" s="1"/>
      <c r="C260" s="1"/>
      <c r="D260" s="1"/>
      <c r="E260" s="1"/>
      <c r="F260" s="1"/>
      <c r="G260" s="1"/>
      <c r="H260" s="1"/>
      <c r="I260" s="1"/>
    </row>
    <row r="261" spans="2:9" x14ac:dyDescent="0.25">
      <c r="B261" s="1"/>
      <c r="C261" s="1"/>
      <c r="D261" s="1"/>
      <c r="E261" s="1"/>
      <c r="F261" s="1"/>
      <c r="G261" s="1"/>
      <c r="H261" s="1"/>
      <c r="I261" s="1"/>
    </row>
    <row r="262" spans="2:9" x14ac:dyDescent="0.25">
      <c r="B262" s="1"/>
      <c r="C262" s="1"/>
      <c r="D262" s="1"/>
      <c r="E262" s="1"/>
      <c r="F262" s="1"/>
      <c r="G262" s="1"/>
      <c r="H262" s="1"/>
      <c r="I262" s="1"/>
    </row>
    <row r="263" spans="2:9" x14ac:dyDescent="0.25">
      <c r="B263" s="1"/>
      <c r="C263" s="1"/>
      <c r="D263" s="1"/>
      <c r="E263" s="1"/>
      <c r="F263" s="1"/>
      <c r="G263" s="1"/>
      <c r="H263" s="1"/>
      <c r="I263" s="1"/>
    </row>
    <row r="264" spans="2:9" x14ac:dyDescent="0.25">
      <c r="B264" s="1"/>
      <c r="C264" s="1"/>
      <c r="D264" s="1"/>
      <c r="E264" s="1"/>
      <c r="F264" s="1"/>
      <c r="G264" s="1"/>
      <c r="H264" s="1"/>
      <c r="I264" s="1"/>
    </row>
    <row r="265" spans="2:9" x14ac:dyDescent="0.25">
      <c r="B265" s="1"/>
      <c r="C265" s="1"/>
      <c r="D265" s="1"/>
      <c r="E265" s="1"/>
      <c r="F265" s="1"/>
      <c r="G265" s="1"/>
      <c r="H265" s="1"/>
      <c r="I265" s="1"/>
    </row>
    <row r="266" spans="2:9" x14ac:dyDescent="0.25">
      <c r="B266" s="1"/>
      <c r="C266" s="1"/>
      <c r="D266" s="1"/>
      <c r="E266" s="1"/>
      <c r="F266" s="1"/>
      <c r="G266" s="1"/>
      <c r="H266" s="1"/>
      <c r="I266" s="1"/>
    </row>
    <row r="267" spans="2:9" x14ac:dyDescent="0.25">
      <c r="B267" s="1"/>
      <c r="C267" s="1"/>
      <c r="D267" s="1"/>
      <c r="E267" s="1"/>
      <c r="F267" s="1"/>
      <c r="G267" s="1"/>
      <c r="H267" s="1"/>
      <c r="I267" s="1"/>
    </row>
    <row r="268" spans="2:9" x14ac:dyDescent="0.25">
      <c r="B268" s="1"/>
      <c r="C268" s="1"/>
      <c r="D268" s="1"/>
      <c r="E268" s="1"/>
      <c r="F268" s="1"/>
      <c r="G268" s="1"/>
      <c r="H268" s="1"/>
      <c r="I268" s="1"/>
    </row>
    <row r="269" spans="2:9" x14ac:dyDescent="0.25">
      <c r="B269" s="1"/>
      <c r="C269" s="1"/>
      <c r="D269" s="1"/>
      <c r="E269" s="1"/>
      <c r="F269" s="1"/>
      <c r="G269" s="1"/>
      <c r="H269" s="1"/>
      <c r="I269" s="1"/>
    </row>
    <row r="270" spans="2:9" x14ac:dyDescent="0.25">
      <c r="B270" s="1"/>
      <c r="C270" s="1"/>
      <c r="D270" s="1"/>
      <c r="E270" s="1"/>
      <c r="F270" s="1"/>
      <c r="G270" s="1"/>
      <c r="H270" s="1"/>
      <c r="I270" s="1"/>
    </row>
    <row r="271" spans="2:9" x14ac:dyDescent="0.25">
      <c r="B271" s="1"/>
      <c r="C271" s="1"/>
      <c r="D271" s="1"/>
      <c r="E271" s="1"/>
      <c r="F271" s="1"/>
      <c r="G271" s="1"/>
      <c r="H271" s="1"/>
      <c r="I271" s="1"/>
    </row>
    <row r="272" spans="2:9" x14ac:dyDescent="0.25">
      <c r="B272" s="1"/>
      <c r="C272" s="1"/>
      <c r="D272" s="1"/>
      <c r="E272" s="1"/>
      <c r="F272" s="1"/>
      <c r="G272" s="1"/>
      <c r="H272" s="1"/>
      <c r="I272" s="1"/>
    </row>
    <row r="273" spans="2:9" x14ac:dyDescent="0.25">
      <c r="B273" s="1"/>
      <c r="C273" s="1"/>
      <c r="D273" s="1"/>
      <c r="E273" s="1"/>
      <c r="F273" s="1"/>
      <c r="G273" s="1"/>
      <c r="H273" s="1"/>
      <c r="I273" s="1"/>
    </row>
    <row r="274" spans="2:9" x14ac:dyDescent="0.25">
      <c r="B274" s="1"/>
      <c r="C274" s="1"/>
      <c r="D274" s="1"/>
      <c r="E274" s="1"/>
      <c r="F274" s="1"/>
      <c r="G274" s="1"/>
      <c r="H274" s="1"/>
      <c r="I274" s="1"/>
    </row>
    <row r="275" spans="2:9" x14ac:dyDescent="0.25">
      <c r="B275" s="1"/>
      <c r="C275" s="1"/>
      <c r="D275" s="1"/>
      <c r="E275" s="1"/>
      <c r="F275" s="1"/>
      <c r="G275" s="1"/>
      <c r="H275" s="1"/>
      <c r="I275" s="1"/>
    </row>
    <row r="276" spans="2:9" x14ac:dyDescent="0.25">
      <c r="B276" s="1"/>
      <c r="C276" s="1"/>
      <c r="D276" s="1"/>
      <c r="E276" s="1"/>
      <c r="F276" s="1"/>
      <c r="G276" s="1"/>
      <c r="H276" s="1"/>
      <c r="I276" s="1"/>
    </row>
    <row r="277" spans="2:9" x14ac:dyDescent="0.25">
      <c r="B277" s="1"/>
      <c r="C277" s="1"/>
      <c r="D277" s="1"/>
      <c r="E277" s="1"/>
      <c r="F277" s="1"/>
      <c r="G277" s="1"/>
      <c r="H277" s="1"/>
      <c r="I277" s="1"/>
    </row>
    <row r="278" spans="2:9" x14ac:dyDescent="0.25">
      <c r="B278" s="1"/>
      <c r="C278" s="1"/>
      <c r="D278" s="1"/>
      <c r="E278" s="1"/>
      <c r="F278" s="1"/>
      <c r="G278" s="1"/>
      <c r="H278" s="1"/>
      <c r="I278" s="1"/>
    </row>
    <row r="279" spans="2:9" x14ac:dyDescent="0.25">
      <c r="B279" s="1"/>
      <c r="C279" s="1"/>
      <c r="D279" s="1"/>
      <c r="E279" s="1"/>
      <c r="F279" s="1"/>
      <c r="G279" s="1"/>
      <c r="H279" s="1"/>
      <c r="I279" s="1"/>
    </row>
    <row r="280" spans="2:9" x14ac:dyDescent="0.25">
      <c r="B280" s="1"/>
      <c r="C280" s="1"/>
      <c r="D280" s="1"/>
      <c r="E280" s="1"/>
      <c r="F280" s="1"/>
      <c r="G280" s="1"/>
      <c r="H280" s="1"/>
      <c r="I280" s="1"/>
    </row>
    <row r="281" spans="2:9" x14ac:dyDescent="0.25">
      <c r="B281" s="1"/>
      <c r="C281" s="1"/>
      <c r="D281" s="1"/>
      <c r="E281" s="1"/>
      <c r="F281" s="1"/>
      <c r="G281" s="1"/>
      <c r="H281" s="1"/>
      <c r="I281" s="1"/>
    </row>
    <row r="282" spans="2:9" x14ac:dyDescent="0.25">
      <c r="B282" s="1"/>
      <c r="C282" s="1"/>
      <c r="D282" s="1"/>
      <c r="E282" s="1"/>
      <c r="F282" s="1"/>
      <c r="G282" s="1"/>
      <c r="H282" s="1"/>
      <c r="I282" s="1"/>
    </row>
    <row r="283" spans="2:9" x14ac:dyDescent="0.25">
      <c r="B283" s="1"/>
      <c r="C283" s="1"/>
      <c r="D283" s="1"/>
      <c r="E283" s="1"/>
      <c r="F283" s="1"/>
      <c r="G283" s="1"/>
      <c r="H283" s="1"/>
      <c r="I283" s="1"/>
    </row>
    <row r="284" spans="2:9" x14ac:dyDescent="0.25">
      <c r="B284" s="1"/>
      <c r="C284" s="1"/>
      <c r="D284" s="1"/>
      <c r="E284" s="1"/>
      <c r="F284" s="1"/>
      <c r="G284" s="1"/>
      <c r="H284" s="1"/>
      <c r="I284" s="1"/>
    </row>
    <row r="285" spans="2:9" x14ac:dyDescent="0.25">
      <c r="B285" s="1"/>
      <c r="C285" s="1"/>
      <c r="D285" s="1"/>
      <c r="E285" s="1"/>
      <c r="F285" s="1"/>
      <c r="G285" s="1"/>
      <c r="H285" s="1"/>
      <c r="I285" s="1"/>
    </row>
    <row r="286" spans="2:9" x14ac:dyDescent="0.25">
      <c r="B286" s="1"/>
      <c r="C286" s="1"/>
      <c r="D286" s="1"/>
      <c r="E286" s="1"/>
      <c r="F286" s="1"/>
      <c r="G286" s="1"/>
      <c r="H286" s="1"/>
      <c r="I286" s="1"/>
    </row>
    <row r="287" spans="2:9" x14ac:dyDescent="0.25">
      <c r="B287" s="1"/>
      <c r="C287" s="1"/>
      <c r="D287" s="1"/>
      <c r="E287" s="1"/>
      <c r="F287" s="1"/>
      <c r="G287" s="1"/>
      <c r="H287" s="1"/>
      <c r="I287" s="1"/>
    </row>
    <row r="288" spans="2:9" x14ac:dyDescent="0.25">
      <c r="B288" s="1"/>
      <c r="C288" s="1"/>
      <c r="D288" s="1"/>
      <c r="E288" s="1"/>
      <c r="F288" s="1"/>
      <c r="G288" s="1"/>
      <c r="H288" s="1"/>
      <c r="I288" s="1"/>
    </row>
    <row r="289" spans="2:9" x14ac:dyDescent="0.25">
      <c r="B289" s="1"/>
      <c r="C289" s="1"/>
      <c r="D289" s="1"/>
      <c r="E289" s="1"/>
      <c r="F289" s="1"/>
      <c r="G289" s="1"/>
      <c r="H289" s="1"/>
      <c r="I289" s="1"/>
    </row>
    <row r="290" spans="2:9" x14ac:dyDescent="0.25">
      <c r="B290" s="1"/>
      <c r="C290" s="1"/>
      <c r="D290" s="1"/>
      <c r="E290" s="1"/>
      <c r="F290" s="1"/>
      <c r="G290" s="1"/>
      <c r="H290" s="1"/>
      <c r="I290" s="1"/>
    </row>
    <row r="291" spans="2:9" x14ac:dyDescent="0.25">
      <c r="B291" s="1"/>
      <c r="C291" s="1"/>
      <c r="D291" s="1"/>
      <c r="E291" s="1"/>
      <c r="F291" s="1"/>
      <c r="G291" s="1"/>
      <c r="H291" s="1"/>
      <c r="I291" s="1"/>
    </row>
    <row r="292" spans="2:9" x14ac:dyDescent="0.25">
      <c r="B292" s="1"/>
      <c r="C292" s="1"/>
      <c r="D292" s="1"/>
      <c r="E292" s="1"/>
      <c r="F292" s="1"/>
      <c r="G292" s="1"/>
      <c r="H292" s="1"/>
      <c r="I292" s="1"/>
    </row>
    <row r="293" spans="2:9" x14ac:dyDescent="0.25">
      <c r="B293" s="1"/>
      <c r="C293" s="1"/>
      <c r="D293" s="1"/>
      <c r="E293" s="1"/>
      <c r="F293" s="1"/>
      <c r="G293" s="1"/>
      <c r="H293" s="1"/>
      <c r="I293" s="1"/>
    </row>
    <row r="294" spans="2:9" x14ac:dyDescent="0.25">
      <c r="B294" s="1"/>
      <c r="C294" s="1"/>
      <c r="D294" s="1"/>
      <c r="E294" s="1"/>
      <c r="F294" s="1"/>
      <c r="G294" s="1"/>
      <c r="H294" s="1"/>
      <c r="I294" s="1"/>
    </row>
    <row r="295" spans="2:9" x14ac:dyDescent="0.25">
      <c r="B295" s="1"/>
      <c r="C295" s="1"/>
      <c r="D295" s="1"/>
      <c r="E295" s="1"/>
      <c r="F295" s="1"/>
      <c r="G295" s="1"/>
      <c r="H295" s="1"/>
      <c r="I295" s="1"/>
    </row>
    <row r="296" spans="2:9" x14ac:dyDescent="0.25">
      <c r="B296" s="1"/>
      <c r="C296" s="1"/>
      <c r="D296" s="1"/>
      <c r="E296" s="1"/>
      <c r="F296" s="1"/>
      <c r="G296" s="1"/>
      <c r="H296" s="1"/>
      <c r="I296" s="1"/>
    </row>
    <row r="297" spans="2:9" x14ac:dyDescent="0.25">
      <c r="B297" s="1"/>
      <c r="C297" s="1"/>
      <c r="D297" s="1"/>
      <c r="E297" s="1"/>
      <c r="F297" s="1"/>
      <c r="G297" s="1"/>
      <c r="H297" s="1"/>
      <c r="I297" s="1"/>
    </row>
    <row r="298" spans="2:9" x14ac:dyDescent="0.25">
      <c r="B298" s="1"/>
      <c r="C298" s="1"/>
      <c r="D298" s="1"/>
      <c r="E298" s="1"/>
      <c r="F298" s="1"/>
      <c r="G298" s="1"/>
      <c r="H298" s="1"/>
      <c r="I298" s="1"/>
    </row>
    <row r="299" spans="2:9" x14ac:dyDescent="0.25">
      <c r="B299" s="1"/>
      <c r="C299" s="1"/>
      <c r="D299" s="1"/>
      <c r="E299" s="1"/>
      <c r="F299" s="1"/>
      <c r="G299" s="1"/>
      <c r="H299" s="1"/>
      <c r="I299" s="1"/>
    </row>
    <row r="300" spans="2:9" x14ac:dyDescent="0.25">
      <c r="B300" s="1"/>
      <c r="C300" s="1"/>
      <c r="D300" s="1"/>
      <c r="E300" s="1"/>
      <c r="F300" s="1"/>
      <c r="G300" s="1"/>
      <c r="H300" s="1"/>
      <c r="I300" s="1"/>
    </row>
    <row r="301" spans="2:9" x14ac:dyDescent="0.25">
      <c r="B301" s="1"/>
      <c r="C301" s="1"/>
      <c r="D301" s="1"/>
      <c r="E301" s="1"/>
      <c r="F301" s="1"/>
      <c r="G301" s="1"/>
      <c r="H301" s="1"/>
      <c r="I301" s="1"/>
    </row>
    <row r="302" spans="2:9" x14ac:dyDescent="0.25">
      <c r="B302" s="1"/>
      <c r="C302" s="1"/>
      <c r="D302" s="1"/>
      <c r="E302" s="1"/>
      <c r="F302" s="1"/>
      <c r="G302" s="1"/>
      <c r="H302" s="1"/>
      <c r="I302" s="1"/>
    </row>
    <row r="303" spans="2:9" x14ac:dyDescent="0.25">
      <c r="B303" s="1"/>
      <c r="C303" s="1"/>
      <c r="D303" s="1"/>
      <c r="E303" s="1"/>
      <c r="F303" s="1"/>
      <c r="G303" s="1"/>
      <c r="H303" s="1"/>
      <c r="I303" s="1"/>
    </row>
    <row r="304" spans="2:9" x14ac:dyDescent="0.25">
      <c r="B304" s="1"/>
      <c r="C304" s="1"/>
      <c r="D304" s="1"/>
      <c r="E304" s="1"/>
      <c r="F304" s="1"/>
      <c r="G304" s="1"/>
      <c r="H304" s="1"/>
      <c r="I304" s="1"/>
    </row>
    <row r="305" spans="2:9" x14ac:dyDescent="0.25">
      <c r="B305" s="1"/>
      <c r="C305" s="1"/>
      <c r="D305" s="1"/>
      <c r="E305" s="1"/>
      <c r="F305" s="1"/>
      <c r="G305" s="1"/>
      <c r="H305" s="1"/>
      <c r="I305" s="1"/>
    </row>
    <row r="306" spans="2:9" x14ac:dyDescent="0.25">
      <c r="B306" s="1"/>
      <c r="C306" s="1"/>
      <c r="D306" s="1"/>
      <c r="E306" s="1"/>
      <c r="F306" s="1"/>
      <c r="G306" s="1"/>
      <c r="H306" s="1"/>
      <c r="I306" s="1"/>
    </row>
    <row r="307" spans="2:9" x14ac:dyDescent="0.25">
      <c r="B307" s="1"/>
      <c r="C307" s="1"/>
      <c r="D307" s="1"/>
      <c r="E307" s="1"/>
      <c r="F307" s="1"/>
      <c r="G307" s="1"/>
      <c r="H307" s="1"/>
      <c r="I307" s="1"/>
    </row>
    <row r="308" spans="2:9" x14ac:dyDescent="0.25">
      <c r="B308" s="1"/>
      <c r="C308" s="1"/>
      <c r="D308" s="1"/>
      <c r="E308" s="1"/>
      <c r="F308" s="1"/>
      <c r="G308" s="1"/>
      <c r="H308" s="1"/>
      <c r="I308" s="1"/>
    </row>
    <row r="309" spans="2:9" x14ac:dyDescent="0.25">
      <c r="B309" s="1"/>
      <c r="C309" s="1"/>
      <c r="D309" s="1"/>
      <c r="E309" s="1"/>
      <c r="F309" s="1"/>
      <c r="G309" s="1"/>
      <c r="H309" s="1"/>
      <c r="I309" s="1"/>
    </row>
    <row r="310" spans="2:9" x14ac:dyDescent="0.25">
      <c r="B310" s="1"/>
      <c r="C310" s="1"/>
      <c r="D310" s="1"/>
      <c r="E310" s="1"/>
      <c r="F310" s="1"/>
      <c r="G310" s="1"/>
      <c r="H310" s="1"/>
      <c r="I310" s="1"/>
    </row>
    <row r="311" spans="2:9" x14ac:dyDescent="0.25">
      <c r="B311" s="1"/>
      <c r="C311" s="1"/>
      <c r="D311" s="1"/>
      <c r="E311" s="1"/>
      <c r="F311" s="1"/>
      <c r="G311" s="1"/>
      <c r="H311" s="1"/>
      <c r="I311" s="1"/>
    </row>
    <row r="312" spans="2:9" x14ac:dyDescent="0.25">
      <c r="B312" s="1"/>
      <c r="C312" s="1"/>
      <c r="D312" s="1"/>
      <c r="E312" s="1"/>
      <c r="F312" s="1"/>
      <c r="G312" s="1"/>
      <c r="H312" s="1"/>
      <c r="I312" s="1"/>
    </row>
    <row r="313" spans="2:9" x14ac:dyDescent="0.25">
      <c r="B313" s="1"/>
      <c r="C313" s="1"/>
      <c r="D313" s="1"/>
      <c r="E313" s="1"/>
      <c r="F313" s="1"/>
      <c r="G313" s="1"/>
      <c r="H313" s="1"/>
      <c r="I313" s="1"/>
    </row>
    <row r="314" spans="2:9" x14ac:dyDescent="0.25">
      <c r="B314" s="1"/>
      <c r="C314" s="1"/>
      <c r="D314" s="1"/>
      <c r="E314" s="1"/>
      <c r="F314" s="1"/>
      <c r="G314" s="1"/>
      <c r="H314" s="1"/>
      <c r="I314" s="1"/>
    </row>
    <row r="315" spans="2:9" x14ac:dyDescent="0.25">
      <c r="B315" s="1"/>
      <c r="C315" s="1"/>
      <c r="D315" s="1"/>
      <c r="E315" s="1"/>
      <c r="F315" s="1"/>
      <c r="G315" s="1"/>
      <c r="H315" s="1"/>
      <c r="I315" s="1"/>
    </row>
    <row r="316" spans="2:9" x14ac:dyDescent="0.25">
      <c r="B316" s="1"/>
      <c r="C316" s="1"/>
      <c r="D316" s="1"/>
      <c r="E316" s="1"/>
      <c r="F316" s="1"/>
      <c r="G316" s="1"/>
      <c r="H316" s="1"/>
      <c r="I316" s="1"/>
    </row>
    <row r="317" spans="2:9" x14ac:dyDescent="0.25">
      <c r="B317" s="1"/>
      <c r="C317" s="1"/>
      <c r="D317" s="1"/>
      <c r="E317" s="1"/>
      <c r="F317" s="1"/>
      <c r="G317" s="1"/>
      <c r="H317" s="1"/>
      <c r="I317" s="1"/>
    </row>
    <row r="318" spans="2:9" x14ac:dyDescent="0.25">
      <c r="B318" s="1"/>
      <c r="C318" s="1"/>
      <c r="D318" s="1"/>
      <c r="E318" s="1"/>
      <c r="F318" s="1"/>
      <c r="G318" s="1"/>
      <c r="H318" s="1"/>
      <c r="I318" s="1"/>
    </row>
    <row r="319" spans="2:9" x14ac:dyDescent="0.25">
      <c r="B319" s="1"/>
      <c r="C319" s="1"/>
      <c r="D319" s="1"/>
      <c r="E319" s="1"/>
      <c r="F319" s="1"/>
      <c r="G319" s="1"/>
      <c r="H319" s="1"/>
      <c r="I319" s="1"/>
    </row>
    <row r="320" spans="2:9" x14ac:dyDescent="0.25">
      <c r="B320" s="1"/>
      <c r="C320" s="1"/>
      <c r="D320" s="1"/>
      <c r="E320" s="1"/>
      <c r="F320" s="1"/>
      <c r="G320" s="1"/>
      <c r="H320" s="1"/>
      <c r="I320" s="1"/>
    </row>
    <row r="321" spans="2:9" x14ac:dyDescent="0.25">
      <c r="B321" s="1"/>
      <c r="C321" s="1"/>
      <c r="D321" s="1"/>
      <c r="E321" s="1"/>
      <c r="F321" s="1"/>
      <c r="G321" s="1"/>
      <c r="H321" s="1"/>
      <c r="I321" s="1"/>
    </row>
    <row r="322" spans="2:9" x14ac:dyDescent="0.25">
      <c r="B322" s="1"/>
      <c r="C322" s="1"/>
      <c r="D322" s="1"/>
      <c r="E322" s="1"/>
      <c r="F322" s="1"/>
      <c r="G322" s="1"/>
      <c r="H322" s="1"/>
      <c r="I322" s="1"/>
    </row>
    <row r="323" spans="2:9" x14ac:dyDescent="0.25">
      <c r="B323" s="1"/>
      <c r="C323" s="1"/>
      <c r="D323" s="1"/>
      <c r="E323" s="1"/>
      <c r="F323" s="1"/>
      <c r="G323" s="1"/>
      <c r="H323" s="1"/>
      <c r="I323" s="1"/>
    </row>
    <row r="324" spans="2:9" x14ac:dyDescent="0.25">
      <c r="B324" s="1"/>
      <c r="C324" s="1"/>
      <c r="D324" s="1"/>
      <c r="E324" s="1"/>
      <c r="F324" s="1"/>
      <c r="G324" s="1"/>
      <c r="H324" s="1"/>
      <c r="I324" s="1"/>
    </row>
    <row r="325" spans="2:9" x14ac:dyDescent="0.25">
      <c r="B325" s="1"/>
      <c r="C325" s="1"/>
      <c r="D325" s="1"/>
      <c r="E325" s="1"/>
      <c r="F325" s="1"/>
      <c r="G325" s="1"/>
      <c r="H325" s="1"/>
      <c r="I325" s="1"/>
    </row>
    <row r="326" spans="2:9" x14ac:dyDescent="0.25">
      <c r="B326" s="1"/>
      <c r="C326" s="1"/>
      <c r="D326" s="1"/>
      <c r="E326" s="1"/>
      <c r="F326" s="1"/>
      <c r="G326" s="1"/>
      <c r="H326" s="1"/>
      <c r="I326" s="1"/>
    </row>
    <row r="327" spans="2:9" x14ac:dyDescent="0.25">
      <c r="B327" s="1"/>
      <c r="C327" s="1"/>
      <c r="D327" s="1"/>
      <c r="E327" s="1"/>
      <c r="F327" s="1"/>
      <c r="G327" s="1"/>
      <c r="H327" s="1"/>
      <c r="I327" s="1"/>
    </row>
    <row r="328" spans="2:9" x14ac:dyDescent="0.25">
      <c r="B328" s="1"/>
      <c r="C328" s="1"/>
      <c r="D328" s="1"/>
      <c r="E328" s="1"/>
      <c r="F328" s="1"/>
      <c r="G328" s="1"/>
      <c r="H328" s="1"/>
      <c r="I328" s="1"/>
    </row>
    <row r="329" spans="2:9" x14ac:dyDescent="0.25">
      <c r="B329" s="1"/>
      <c r="C329" s="1"/>
      <c r="D329" s="1"/>
      <c r="E329" s="1"/>
      <c r="F329" s="1"/>
      <c r="G329" s="1"/>
      <c r="H329" s="1"/>
      <c r="I329" s="1"/>
    </row>
    <row r="330" spans="2:9" x14ac:dyDescent="0.25">
      <c r="B330" s="1"/>
      <c r="C330" s="1"/>
      <c r="D330" s="1"/>
      <c r="E330" s="1"/>
      <c r="F330" s="1"/>
      <c r="G330" s="1"/>
      <c r="H330" s="1"/>
      <c r="I330" s="1"/>
    </row>
    <row r="331" spans="2:9" x14ac:dyDescent="0.25">
      <c r="B331" s="1"/>
      <c r="C331" s="1"/>
      <c r="D331" s="1"/>
      <c r="E331" s="1"/>
      <c r="F331" s="1"/>
      <c r="G331" s="1"/>
      <c r="H331" s="1"/>
      <c r="I331" s="1"/>
    </row>
    <row r="332" spans="2:9" x14ac:dyDescent="0.25">
      <c r="B332" s="1"/>
      <c r="C332" s="1"/>
      <c r="D332" s="1"/>
      <c r="E332" s="1"/>
      <c r="F332" s="1"/>
      <c r="G332" s="1"/>
      <c r="H332" s="1"/>
      <c r="I332" s="1"/>
    </row>
    <row r="333" spans="2:9" x14ac:dyDescent="0.25">
      <c r="B333" s="1"/>
      <c r="C333" s="1"/>
      <c r="D333" s="1"/>
      <c r="E333" s="1"/>
      <c r="F333" s="1"/>
      <c r="G333" s="1"/>
      <c r="H333" s="1"/>
      <c r="I333" s="1"/>
    </row>
    <row r="334" spans="2:9" x14ac:dyDescent="0.25">
      <c r="B334" s="1"/>
      <c r="C334" s="1"/>
      <c r="D334" s="1"/>
      <c r="E334" s="1"/>
      <c r="F334" s="1"/>
      <c r="G334" s="1"/>
      <c r="H334" s="1"/>
      <c r="I334" s="1"/>
    </row>
    <row r="335" spans="2:9" x14ac:dyDescent="0.25">
      <c r="B335" s="1"/>
      <c r="C335" s="1"/>
      <c r="D335" s="1"/>
      <c r="E335" s="1"/>
      <c r="F335" s="1"/>
      <c r="G335" s="1"/>
      <c r="H335" s="1"/>
      <c r="I335" s="1"/>
    </row>
    <row r="336" spans="2:9" x14ac:dyDescent="0.25">
      <c r="B336" s="1"/>
      <c r="C336" s="1"/>
      <c r="D336" s="1"/>
      <c r="E336" s="1"/>
      <c r="F336" s="1"/>
      <c r="G336" s="1"/>
      <c r="H336" s="1"/>
      <c r="I336" s="1"/>
    </row>
    <row r="337" spans="2:9" x14ac:dyDescent="0.25">
      <c r="B337" s="1"/>
      <c r="C337" s="1"/>
      <c r="D337" s="1"/>
      <c r="E337" s="1"/>
      <c r="F337" s="1"/>
      <c r="G337" s="1"/>
      <c r="H337" s="1"/>
      <c r="I337" s="1"/>
    </row>
    <row r="338" spans="2:9" x14ac:dyDescent="0.25">
      <c r="B338" s="1"/>
      <c r="C338" s="1"/>
      <c r="D338" s="1"/>
      <c r="E338" s="1"/>
      <c r="F338" s="1"/>
      <c r="G338" s="1"/>
      <c r="H338" s="1"/>
      <c r="I338" s="1"/>
    </row>
    <row r="339" spans="2:9" x14ac:dyDescent="0.25">
      <c r="B339" s="1"/>
      <c r="C339" s="1"/>
      <c r="D339" s="1"/>
      <c r="E339" s="1"/>
      <c r="F339" s="1"/>
      <c r="G339" s="1"/>
      <c r="H339" s="1"/>
      <c r="I339" s="1"/>
    </row>
    <row r="340" spans="2:9" x14ac:dyDescent="0.25">
      <c r="B340" s="1"/>
      <c r="C340" s="1"/>
      <c r="D340" s="1"/>
      <c r="E340" s="1"/>
      <c r="F340" s="1"/>
      <c r="G340" s="1"/>
      <c r="H340" s="1"/>
      <c r="I340" s="1"/>
    </row>
    <row r="341" spans="2:9" x14ac:dyDescent="0.25">
      <c r="B341" s="1"/>
      <c r="C341" s="1"/>
      <c r="D341" s="1"/>
      <c r="E341" s="1"/>
      <c r="F341" s="1"/>
      <c r="G341" s="1"/>
      <c r="H341" s="1"/>
      <c r="I341" s="1"/>
    </row>
    <row r="342" spans="2:9" x14ac:dyDescent="0.25">
      <c r="B342" s="1"/>
      <c r="C342" s="1"/>
      <c r="D342" s="1"/>
      <c r="E342" s="1"/>
      <c r="F342" s="1"/>
      <c r="G342" s="1"/>
      <c r="H342" s="1"/>
      <c r="I342" s="1"/>
    </row>
    <row r="343" spans="2:9" x14ac:dyDescent="0.25">
      <c r="B343" s="1"/>
      <c r="C343" s="1"/>
      <c r="D343" s="1"/>
      <c r="E343" s="1"/>
      <c r="F343" s="1"/>
      <c r="G343" s="1"/>
      <c r="H343" s="1"/>
      <c r="I343" s="1"/>
    </row>
    <row r="344" spans="2:9" x14ac:dyDescent="0.25">
      <c r="B344" s="1"/>
      <c r="C344" s="1"/>
      <c r="D344" s="1"/>
      <c r="E344" s="1"/>
      <c r="F344" s="1"/>
      <c r="G344" s="1"/>
      <c r="H344" s="1"/>
      <c r="I344" s="1"/>
    </row>
    <row r="345" spans="2:9" x14ac:dyDescent="0.25">
      <c r="B345" s="1"/>
      <c r="C345" s="1"/>
      <c r="D345" s="1"/>
      <c r="E345" s="1"/>
      <c r="F345" s="1"/>
      <c r="G345" s="1"/>
      <c r="H345" s="1"/>
      <c r="I345" s="1"/>
    </row>
    <row r="346" spans="2:9" x14ac:dyDescent="0.25">
      <c r="B346" s="1"/>
      <c r="C346" s="1"/>
      <c r="D346" s="1"/>
      <c r="E346" s="1"/>
      <c r="F346" s="1"/>
      <c r="G346" s="1"/>
      <c r="H346" s="1"/>
      <c r="I346" s="1"/>
    </row>
    <row r="347" spans="2:9" x14ac:dyDescent="0.25">
      <c r="B347" s="1"/>
      <c r="C347" s="1"/>
      <c r="D347" s="1"/>
      <c r="E347" s="1"/>
      <c r="F347" s="1"/>
      <c r="G347" s="1"/>
      <c r="H347" s="1"/>
      <c r="I347" s="1"/>
    </row>
    <row r="348" spans="2:9" x14ac:dyDescent="0.25">
      <c r="B348" s="1"/>
      <c r="C348" s="1"/>
      <c r="D348" s="1"/>
      <c r="E348" s="1"/>
      <c r="F348" s="1"/>
      <c r="G348" s="1"/>
      <c r="H348" s="1"/>
      <c r="I348" s="1"/>
    </row>
    <row r="349" spans="2:9" x14ac:dyDescent="0.25">
      <c r="B349" s="1"/>
      <c r="C349" s="1"/>
      <c r="D349" s="1"/>
      <c r="E349" s="1"/>
      <c r="F349" s="1"/>
      <c r="G349" s="1"/>
      <c r="H349" s="1"/>
      <c r="I349" s="1"/>
    </row>
    <row r="350" spans="2:9" x14ac:dyDescent="0.25">
      <c r="B350" s="1"/>
      <c r="C350" s="1"/>
      <c r="D350" s="1"/>
      <c r="E350" s="1"/>
      <c r="F350" s="1"/>
      <c r="G350" s="1"/>
      <c r="H350" s="1"/>
      <c r="I350" s="1"/>
    </row>
    <row r="351" spans="2:9" x14ac:dyDescent="0.25">
      <c r="B351" s="1"/>
      <c r="C351" s="1"/>
      <c r="D351" s="1"/>
      <c r="E351" s="1"/>
      <c r="F351" s="1"/>
      <c r="G351" s="1"/>
      <c r="H351" s="1"/>
      <c r="I351" s="1"/>
    </row>
    <row r="352" spans="2:9" x14ac:dyDescent="0.25">
      <c r="B352" s="1"/>
      <c r="C352" s="1"/>
      <c r="D352" s="1"/>
      <c r="E352" s="1"/>
      <c r="F352" s="1"/>
      <c r="G352" s="1"/>
      <c r="H352" s="1"/>
      <c r="I352" s="1"/>
    </row>
    <row r="353" spans="2:9" x14ac:dyDescent="0.25">
      <c r="B353" s="1"/>
      <c r="C353" s="1"/>
      <c r="D353" s="1"/>
      <c r="E353" s="1"/>
      <c r="F353" s="1"/>
      <c r="G353" s="1"/>
      <c r="H353" s="1"/>
      <c r="I353" s="1"/>
    </row>
    <row r="354" spans="2:9" x14ac:dyDescent="0.25">
      <c r="B354" s="1"/>
      <c r="C354" s="1"/>
      <c r="D354" s="1"/>
      <c r="E354" s="1"/>
      <c r="F354" s="1"/>
      <c r="G354" s="1"/>
      <c r="H354" s="1"/>
      <c r="I354" s="1"/>
    </row>
    <row r="355" spans="2:9" x14ac:dyDescent="0.25">
      <c r="B355" s="1"/>
      <c r="C355" s="1"/>
      <c r="D355" s="1"/>
      <c r="E355" s="1"/>
      <c r="F355" s="1"/>
      <c r="G355" s="1"/>
      <c r="H355" s="1"/>
      <c r="I355" s="1"/>
    </row>
    <row r="356" spans="2:9" x14ac:dyDescent="0.25">
      <c r="B356" s="1"/>
      <c r="C356" s="1"/>
      <c r="D356" s="1"/>
      <c r="E356" s="1"/>
      <c r="F356" s="1"/>
      <c r="G356" s="1"/>
      <c r="H356" s="1"/>
      <c r="I356" s="1"/>
    </row>
    <row r="357" spans="2:9" x14ac:dyDescent="0.25">
      <c r="B357" s="1"/>
      <c r="C357" s="1"/>
      <c r="D357" s="1"/>
      <c r="E357" s="1"/>
      <c r="F357" s="1"/>
      <c r="G357" s="1"/>
      <c r="H357" s="1"/>
      <c r="I357" s="1"/>
    </row>
    <row r="358" spans="2:9" x14ac:dyDescent="0.25">
      <c r="B358" s="1"/>
      <c r="C358" s="1"/>
      <c r="D358" s="1"/>
      <c r="E358" s="1"/>
      <c r="F358" s="1"/>
      <c r="G358" s="1"/>
      <c r="H358" s="1"/>
      <c r="I358" s="1"/>
    </row>
    <row r="359" spans="2:9" x14ac:dyDescent="0.25">
      <c r="B359" s="1"/>
      <c r="C359" s="1"/>
      <c r="D359" s="1"/>
      <c r="E359" s="1"/>
      <c r="F359" s="1"/>
      <c r="G359" s="1"/>
      <c r="H359" s="1"/>
      <c r="I359" s="1"/>
    </row>
    <row r="360" spans="2:9" x14ac:dyDescent="0.25">
      <c r="B360" s="1"/>
      <c r="C360" s="1"/>
      <c r="D360" s="1"/>
      <c r="E360" s="1"/>
      <c r="F360" s="1"/>
      <c r="G360" s="1"/>
      <c r="H360" s="1"/>
      <c r="I360" s="1"/>
    </row>
    <row r="361" spans="2:9" x14ac:dyDescent="0.25">
      <c r="B361" s="1"/>
      <c r="C361" s="1"/>
      <c r="D361" s="1"/>
      <c r="E361" s="1"/>
      <c r="F361" s="1"/>
      <c r="G361" s="1"/>
      <c r="H361" s="1"/>
      <c r="I361" s="1"/>
    </row>
    <row r="362" spans="2:9" x14ac:dyDescent="0.25">
      <c r="B362" s="1"/>
      <c r="C362" s="1"/>
      <c r="D362" s="1"/>
      <c r="E362" s="1"/>
      <c r="F362" s="1"/>
      <c r="G362" s="1"/>
      <c r="H362" s="1"/>
      <c r="I362" s="1"/>
    </row>
    <row r="363" spans="2:9" x14ac:dyDescent="0.25">
      <c r="B363" s="1"/>
      <c r="C363" s="1"/>
      <c r="D363" s="1"/>
      <c r="E363" s="1"/>
      <c r="F363" s="1"/>
      <c r="G363" s="1"/>
      <c r="H363" s="1"/>
      <c r="I363" s="1"/>
    </row>
    <row r="364" spans="2:9" x14ac:dyDescent="0.25">
      <c r="B364" s="1"/>
      <c r="C364" s="1"/>
      <c r="D364" s="1"/>
      <c r="E364" s="1"/>
      <c r="F364" s="1"/>
      <c r="G364" s="1"/>
      <c r="H364" s="1"/>
      <c r="I364" s="1"/>
    </row>
    <row r="365" spans="2:9" x14ac:dyDescent="0.25">
      <c r="B365" s="1"/>
      <c r="C365" s="1"/>
      <c r="D365" s="1"/>
      <c r="E365" s="1"/>
      <c r="F365" s="1"/>
      <c r="G365" s="1"/>
      <c r="H365" s="1"/>
      <c r="I365" s="1"/>
    </row>
    <row r="366" spans="2:9" x14ac:dyDescent="0.25">
      <c r="B366" s="1"/>
      <c r="C366" s="1"/>
      <c r="D366" s="1"/>
      <c r="E366" s="1"/>
      <c r="F366" s="1"/>
      <c r="G366" s="1"/>
      <c r="H366" s="1"/>
      <c r="I366" s="1"/>
    </row>
    <row r="367" spans="2:9" x14ac:dyDescent="0.25">
      <c r="B367" s="1"/>
      <c r="C367" s="1"/>
      <c r="D367" s="1"/>
      <c r="E367" s="1"/>
      <c r="F367" s="1"/>
      <c r="G367" s="1"/>
      <c r="H367" s="1"/>
      <c r="I367" s="1"/>
    </row>
    <row r="368" spans="2:9" x14ac:dyDescent="0.25">
      <c r="B368" s="1"/>
      <c r="C368" s="1"/>
      <c r="D368" s="1"/>
      <c r="E368" s="1"/>
      <c r="F368" s="1"/>
      <c r="G368" s="1"/>
      <c r="H368" s="1"/>
      <c r="I368" s="1"/>
    </row>
    <row r="369" spans="2:9" x14ac:dyDescent="0.25">
      <c r="B369" s="1"/>
      <c r="C369" s="1"/>
      <c r="D369" s="1"/>
      <c r="E369" s="1"/>
      <c r="F369" s="1"/>
      <c r="G369" s="1"/>
      <c r="H369" s="1"/>
      <c r="I369" s="1"/>
    </row>
    <row r="370" spans="2:9" x14ac:dyDescent="0.25">
      <c r="B370" s="1"/>
      <c r="C370" s="1"/>
      <c r="D370" s="1"/>
      <c r="E370" s="1"/>
      <c r="F370" s="1"/>
      <c r="G370" s="1"/>
      <c r="H370" s="1"/>
      <c r="I370" s="1"/>
    </row>
    <row r="371" spans="2:9" x14ac:dyDescent="0.25">
      <c r="B371" s="1"/>
      <c r="C371" s="1"/>
      <c r="D371" s="1"/>
      <c r="E371" s="1"/>
      <c r="F371" s="1"/>
      <c r="G371" s="1"/>
      <c r="H371" s="1"/>
      <c r="I371" s="1"/>
    </row>
    <row r="372" spans="2:9" x14ac:dyDescent="0.25">
      <c r="B372" s="1"/>
      <c r="C372" s="1"/>
      <c r="D372" s="1"/>
      <c r="E372" s="1"/>
      <c r="F372" s="1"/>
      <c r="G372" s="1"/>
      <c r="H372" s="1"/>
      <c r="I372" s="1"/>
    </row>
    <row r="373" spans="2:9" x14ac:dyDescent="0.25">
      <c r="B373" s="1"/>
      <c r="C373" s="1"/>
      <c r="D373" s="1"/>
      <c r="E373" s="1"/>
      <c r="F373" s="1"/>
      <c r="G373" s="1"/>
      <c r="H373" s="1"/>
      <c r="I373" s="1"/>
    </row>
    <row r="374" spans="2:9" x14ac:dyDescent="0.25">
      <c r="B374" s="1"/>
      <c r="C374" s="1"/>
      <c r="D374" s="1"/>
      <c r="E374" s="1"/>
      <c r="F374" s="1"/>
      <c r="G374" s="1"/>
      <c r="H374" s="1"/>
      <c r="I374" s="1"/>
    </row>
    <row r="375" spans="2:9" x14ac:dyDescent="0.25">
      <c r="B375" s="1"/>
      <c r="C375" s="1"/>
      <c r="D375" s="1"/>
      <c r="E375" s="1"/>
      <c r="F375" s="1"/>
      <c r="G375" s="1"/>
      <c r="H375" s="1"/>
      <c r="I375" s="1"/>
    </row>
    <row r="376" spans="2:9" x14ac:dyDescent="0.25">
      <c r="B376" s="1"/>
      <c r="C376" s="1"/>
      <c r="D376" s="1"/>
      <c r="E376" s="1"/>
      <c r="F376" s="1"/>
      <c r="G376" s="1"/>
      <c r="H376" s="1"/>
      <c r="I376" s="1"/>
    </row>
    <row r="377" spans="2:9" x14ac:dyDescent="0.25">
      <c r="B377" s="1"/>
      <c r="C377" s="1"/>
      <c r="D377" s="1"/>
      <c r="E377" s="1"/>
      <c r="F377" s="1"/>
      <c r="G377" s="1"/>
      <c r="H377" s="1"/>
      <c r="I377" s="1"/>
    </row>
    <row r="378" spans="2:9" x14ac:dyDescent="0.25">
      <c r="B378" s="1"/>
      <c r="C378" s="1"/>
      <c r="D378" s="1"/>
      <c r="E378" s="1"/>
      <c r="F378" s="1"/>
      <c r="G378" s="1"/>
      <c r="H378" s="1"/>
      <c r="I378" s="1"/>
    </row>
    <row r="379" spans="2:9" x14ac:dyDescent="0.25">
      <c r="B379" s="1"/>
      <c r="C379" s="1"/>
      <c r="D379" s="1"/>
      <c r="E379" s="1"/>
      <c r="F379" s="1"/>
      <c r="G379" s="1"/>
      <c r="H379" s="1"/>
      <c r="I379" s="1"/>
    </row>
    <row r="380" spans="2:9" x14ac:dyDescent="0.25">
      <c r="B380" s="1"/>
      <c r="C380" s="1"/>
      <c r="D380" s="1"/>
      <c r="E380" s="1"/>
      <c r="F380" s="1"/>
      <c r="G380" s="1"/>
      <c r="H380" s="1"/>
      <c r="I380" s="1"/>
    </row>
    <row r="381" spans="2:9" x14ac:dyDescent="0.25">
      <c r="B381" s="1"/>
      <c r="C381" s="1"/>
      <c r="D381" s="1"/>
      <c r="E381" s="1"/>
      <c r="F381" s="1"/>
      <c r="G381" s="1"/>
      <c r="H381" s="1"/>
      <c r="I381" s="1"/>
    </row>
    <row r="382" spans="2:9" x14ac:dyDescent="0.25">
      <c r="B382" s="1"/>
      <c r="C382" s="1"/>
      <c r="D382" s="1"/>
      <c r="E382" s="1"/>
      <c r="F382" s="1"/>
      <c r="G382" s="1"/>
      <c r="H382" s="1"/>
      <c r="I382" s="1"/>
    </row>
    <row r="383" spans="2:9" x14ac:dyDescent="0.25">
      <c r="B383" s="1"/>
      <c r="C383" s="1"/>
      <c r="D383" s="1"/>
      <c r="E383" s="1"/>
      <c r="F383" s="1"/>
      <c r="G383" s="1"/>
      <c r="H383" s="1"/>
      <c r="I383" s="1"/>
    </row>
    <row r="384" spans="2:9" x14ac:dyDescent="0.25">
      <c r="B384" s="1"/>
      <c r="C384" s="1"/>
      <c r="D384" s="1"/>
      <c r="E384" s="1"/>
      <c r="F384" s="1"/>
      <c r="G384" s="1"/>
      <c r="H384" s="1"/>
      <c r="I384" s="1"/>
    </row>
    <row r="385" spans="2:9" x14ac:dyDescent="0.25">
      <c r="B385" s="1"/>
      <c r="C385" s="1"/>
      <c r="D385" s="1"/>
      <c r="E385" s="1"/>
      <c r="F385" s="1"/>
      <c r="G385" s="1"/>
      <c r="H385" s="1"/>
      <c r="I385" s="1"/>
    </row>
    <row r="386" spans="2:9" x14ac:dyDescent="0.25">
      <c r="B386" s="1"/>
      <c r="C386" s="1"/>
      <c r="D386" s="1"/>
      <c r="E386" s="1"/>
      <c r="F386" s="1"/>
      <c r="G386" s="1"/>
      <c r="H386" s="1"/>
      <c r="I386" s="1"/>
    </row>
    <row r="387" spans="2:9" x14ac:dyDescent="0.25">
      <c r="B387" s="1"/>
      <c r="C387" s="1"/>
      <c r="D387" s="1"/>
      <c r="E387" s="1"/>
      <c r="F387" s="1"/>
      <c r="G387" s="1"/>
      <c r="H387" s="1"/>
      <c r="I387" s="1"/>
    </row>
    <row r="388" spans="2:9" x14ac:dyDescent="0.25">
      <c r="B388" s="1"/>
      <c r="C388" s="1"/>
      <c r="D388" s="1"/>
      <c r="E388" s="1"/>
      <c r="F388" s="1"/>
      <c r="G388" s="1"/>
      <c r="H388" s="1"/>
      <c r="I388" s="1"/>
    </row>
    <row r="389" spans="2:9" x14ac:dyDescent="0.25">
      <c r="B389" s="1"/>
      <c r="C389" s="1"/>
      <c r="D389" s="1"/>
      <c r="E389" s="1"/>
      <c r="F389" s="1"/>
      <c r="G389" s="1"/>
      <c r="H389" s="1"/>
      <c r="I389" s="1"/>
    </row>
    <row r="390" spans="2:9" x14ac:dyDescent="0.25">
      <c r="B390" s="1"/>
      <c r="C390" s="1"/>
      <c r="D390" s="1"/>
      <c r="E390" s="1"/>
      <c r="F390" s="1"/>
      <c r="G390" s="1"/>
      <c r="H390" s="1"/>
      <c r="I390" s="1"/>
    </row>
    <row r="391" spans="2:9" x14ac:dyDescent="0.25">
      <c r="B391" s="1"/>
      <c r="C391" s="1"/>
      <c r="D391" s="1"/>
      <c r="E391" s="1"/>
      <c r="F391" s="1"/>
      <c r="G391" s="1"/>
      <c r="H391" s="1"/>
      <c r="I391" s="1"/>
    </row>
    <row r="392" spans="2:9" x14ac:dyDescent="0.25">
      <c r="B392" s="1"/>
      <c r="C392" s="1"/>
      <c r="D392" s="1"/>
      <c r="E392" s="1"/>
      <c r="F392" s="1"/>
      <c r="G392" s="1"/>
      <c r="H392" s="1"/>
      <c r="I392" s="1"/>
    </row>
    <row r="393" spans="2:9" x14ac:dyDescent="0.25">
      <c r="B393" s="1"/>
      <c r="C393" s="1"/>
      <c r="D393" s="1"/>
      <c r="E393" s="1"/>
      <c r="F393" s="1"/>
      <c r="G393" s="1"/>
      <c r="H393" s="1"/>
      <c r="I393" s="1"/>
    </row>
    <row r="394" spans="2:9" x14ac:dyDescent="0.25">
      <c r="B394" s="1"/>
      <c r="C394" s="1"/>
      <c r="D394" s="1"/>
      <c r="E394" s="1"/>
      <c r="F394" s="1"/>
      <c r="G394" s="1"/>
      <c r="H394" s="1"/>
      <c r="I394" s="1"/>
    </row>
    <row r="395" spans="2:9" x14ac:dyDescent="0.25">
      <c r="B395" s="1"/>
      <c r="C395" s="1"/>
      <c r="D395" s="1"/>
      <c r="E395" s="1"/>
      <c r="F395" s="1"/>
      <c r="G395" s="1"/>
      <c r="H395" s="1"/>
      <c r="I395" s="1"/>
    </row>
    <row r="396" spans="2:9" x14ac:dyDescent="0.25">
      <c r="B396" s="1"/>
      <c r="C396" s="1"/>
      <c r="D396" s="1"/>
      <c r="E396" s="1"/>
      <c r="F396" s="1"/>
      <c r="G396" s="1"/>
      <c r="H396" s="1"/>
      <c r="I396" s="1"/>
    </row>
    <row r="397" spans="2:9" x14ac:dyDescent="0.25">
      <c r="B397" s="1"/>
      <c r="C397" s="1"/>
      <c r="D397" s="1"/>
      <c r="E397" s="1"/>
      <c r="F397" s="1"/>
      <c r="G397" s="1"/>
      <c r="H397" s="1"/>
      <c r="I397" s="1"/>
    </row>
    <row r="398" spans="2:9" x14ac:dyDescent="0.25">
      <c r="B398" s="1"/>
      <c r="C398" s="1"/>
      <c r="D398" s="1"/>
      <c r="E398" s="1"/>
      <c r="F398" s="1"/>
      <c r="G398" s="1"/>
      <c r="H398" s="1"/>
      <c r="I398" s="1"/>
    </row>
    <row r="399" spans="2:9" x14ac:dyDescent="0.25">
      <c r="B399" s="1"/>
      <c r="C399" s="1"/>
      <c r="D399" s="1"/>
      <c r="E399" s="1"/>
      <c r="F399" s="1"/>
      <c r="G399" s="1"/>
      <c r="H399" s="1"/>
      <c r="I399" s="1"/>
    </row>
    <row r="400" spans="2:9" x14ac:dyDescent="0.25">
      <c r="B400" s="1"/>
      <c r="C400" s="1"/>
      <c r="D400" s="1"/>
      <c r="E400" s="1"/>
      <c r="F400" s="1"/>
      <c r="G400" s="1"/>
      <c r="H400" s="1"/>
      <c r="I400" s="1"/>
    </row>
    <row r="401" spans="2:9" x14ac:dyDescent="0.25">
      <c r="B401" s="1"/>
      <c r="C401" s="1"/>
      <c r="D401" s="1"/>
      <c r="E401" s="1"/>
      <c r="F401" s="1"/>
      <c r="G401" s="1"/>
      <c r="H401" s="1"/>
      <c r="I401" s="1"/>
    </row>
    <row r="402" spans="2:9" x14ac:dyDescent="0.25">
      <c r="B402" s="1"/>
      <c r="C402" s="1"/>
      <c r="D402" s="1"/>
      <c r="E402" s="1"/>
      <c r="F402" s="1"/>
      <c r="G402" s="1"/>
      <c r="H402" s="1"/>
      <c r="I402" s="1"/>
    </row>
    <row r="403" spans="2:9" x14ac:dyDescent="0.25">
      <c r="B403" s="1"/>
      <c r="C403" s="1"/>
      <c r="D403" s="1"/>
      <c r="E403" s="1"/>
      <c r="F403" s="1"/>
      <c r="G403" s="1"/>
      <c r="H403" s="1"/>
      <c r="I403" s="1"/>
    </row>
    <row r="404" spans="2:9" x14ac:dyDescent="0.25">
      <c r="B404" s="1"/>
      <c r="C404" s="1"/>
      <c r="D404" s="1"/>
      <c r="E404" s="1"/>
      <c r="F404" s="1"/>
      <c r="G404" s="1"/>
      <c r="H404" s="1"/>
      <c r="I404" s="1"/>
    </row>
    <row r="405" spans="2:9" x14ac:dyDescent="0.25">
      <c r="B405" s="1"/>
      <c r="C405" s="1"/>
      <c r="D405" s="1"/>
      <c r="E405" s="1"/>
      <c r="F405" s="1"/>
      <c r="G405" s="1"/>
      <c r="H405" s="1"/>
      <c r="I405" s="1"/>
    </row>
    <row r="406" spans="2:9" x14ac:dyDescent="0.25">
      <c r="B406" s="1"/>
      <c r="C406" s="1"/>
      <c r="D406" s="1"/>
      <c r="E406" s="1"/>
      <c r="F406" s="1"/>
      <c r="G406" s="1"/>
      <c r="H406" s="1"/>
      <c r="I406" s="1"/>
    </row>
    <row r="407" spans="2:9" x14ac:dyDescent="0.25">
      <c r="B407" s="1"/>
      <c r="C407" s="1"/>
      <c r="D407" s="1"/>
      <c r="E407" s="1"/>
      <c r="F407" s="1"/>
      <c r="G407" s="1"/>
      <c r="H407" s="1"/>
      <c r="I407" s="1"/>
    </row>
    <row r="408" spans="2:9" x14ac:dyDescent="0.25">
      <c r="B408" s="1"/>
      <c r="C408" s="1"/>
      <c r="D408" s="1"/>
      <c r="E408" s="1"/>
      <c r="F408" s="1"/>
      <c r="G408" s="1"/>
      <c r="H408" s="1"/>
      <c r="I408" s="1"/>
    </row>
    <row r="409" spans="2:9" x14ac:dyDescent="0.25">
      <c r="B409" s="1"/>
      <c r="C409" s="1"/>
      <c r="D409" s="1"/>
      <c r="E409" s="1"/>
      <c r="F409" s="1"/>
      <c r="G409" s="1"/>
      <c r="H409" s="1"/>
      <c r="I409" s="1"/>
    </row>
    <row r="410" spans="2:9" x14ac:dyDescent="0.25">
      <c r="B410" s="1"/>
      <c r="C410" s="1"/>
      <c r="D410" s="1"/>
      <c r="E410" s="1"/>
      <c r="F410" s="1"/>
      <c r="G410" s="1"/>
      <c r="H410" s="1"/>
      <c r="I410" s="1"/>
    </row>
    <row r="411" spans="2:9" x14ac:dyDescent="0.25">
      <c r="B411" s="1"/>
      <c r="C411" s="1"/>
      <c r="D411" s="1"/>
      <c r="E411" s="1"/>
      <c r="F411" s="1"/>
      <c r="G411" s="1"/>
      <c r="H411" s="1"/>
      <c r="I411" s="1"/>
    </row>
    <row r="412" spans="2:9" x14ac:dyDescent="0.25">
      <c r="B412" s="1"/>
      <c r="C412" s="1"/>
      <c r="D412" s="1"/>
      <c r="E412" s="1"/>
      <c r="F412" s="1"/>
      <c r="G412" s="1"/>
      <c r="H412" s="1"/>
      <c r="I412" s="1"/>
    </row>
    <row r="413" spans="2:9" x14ac:dyDescent="0.25">
      <c r="B413" s="1"/>
      <c r="C413" s="1"/>
      <c r="D413" s="1"/>
      <c r="E413" s="1"/>
      <c r="F413" s="1"/>
      <c r="G413" s="1"/>
      <c r="H413" s="1"/>
      <c r="I413" s="1"/>
    </row>
    <row r="414" spans="2:9" x14ac:dyDescent="0.25">
      <c r="B414" s="1"/>
      <c r="C414" s="1"/>
      <c r="D414" s="1"/>
      <c r="E414" s="1"/>
      <c r="F414" s="1"/>
      <c r="G414" s="1"/>
      <c r="H414" s="1"/>
      <c r="I414" s="1"/>
    </row>
    <row r="415" spans="2:9" x14ac:dyDescent="0.25">
      <c r="B415" s="1"/>
      <c r="C415" s="1"/>
      <c r="D415" s="1"/>
      <c r="E415" s="1"/>
      <c r="F415" s="1"/>
      <c r="G415" s="1"/>
      <c r="H415" s="1"/>
      <c r="I415" s="1"/>
    </row>
    <row r="416" spans="2:9" x14ac:dyDescent="0.25">
      <c r="B416" s="1"/>
      <c r="C416" s="1"/>
      <c r="D416" s="1"/>
      <c r="E416" s="1"/>
      <c r="F416" s="1"/>
      <c r="G416" s="1"/>
      <c r="H416" s="1"/>
      <c r="I416" s="1"/>
    </row>
    <row r="417" spans="2:9" x14ac:dyDescent="0.25">
      <c r="B417" s="1"/>
      <c r="C417" s="1"/>
      <c r="D417" s="1"/>
      <c r="E417" s="1"/>
      <c r="F417" s="1"/>
      <c r="G417" s="1"/>
      <c r="H417" s="1"/>
      <c r="I417" s="1"/>
    </row>
    <row r="418" spans="2:9" x14ac:dyDescent="0.25">
      <c r="B418" s="1"/>
      <c r="C418" s="1"/>
      <c r="D418" s="1"/>
      <c r="E418" s="1"/>
      <c r="F418" s="1"/>
      <c r="G418" s="1"/>
      <c r="H418" s="1"/>
      <c r="I418" s="1"/>
    </row>
    <row r="419" spans="2:9" x14ac:dyDescent="0.25">
      <c r="B419" s="1"/>
      <c r="C419" s="1"/>
      <c r="D419" s="1"/>
      <c r="E419" s="1"/>
      <c r="F419" s="1"/>
      <c r="G419" s="1"/>
      <c r="H419" s="1"/>
      <c r="I419" s="1"/>
    </row>
    <row r="420" spans="2:9" x14ac:dyDescent="0.25">
      <c r="B420" s="1"/>
      <c r="C420" s="1"/>
      <c r="D420" s="1"/>
      <c r="E420" s="1"/>
      <c r="F420" s="1"/>
      <c r="G420" s="1"/>
      <c r="H420" s="1"/>
      <c r="I420" s="1"/>
    </row>
    <row r="421" spans="2:9" x14ac:dyDescent="0.25">
      <c r="B421" s="1"/>
      <c r="C421" s="1"/>
      <c r="D421" s="1"/>
      <c r="E421" s="1"/>
      <c r="F421" s="1"/>
      <c r="G421" s="1"/>
      <c r="H421" s="1"/>
      <c r="I421" s="1"/>
    </row>
    <row r="422" spans="2:9" x14ac:dyDescent="0.25">
      <c r="B422" s="1"/>
      <c r="C422" s="1"/>
      <c r="D422" s="1"/>
      <c r="E422" s="1"/>
      <c r="F422" s="1"/>
      <c r="G422" s="1"/>
      <c r="H422" s="1"/>
      <c r="I422" s="1"/>
    </row>
    <row r="423" spans="2:9" x14ac:dyDescent="0.25">
      <c r="B423" s="1"/>
      <c r="C423" s="1"/>
      <c r="D423" s="1"/>
      <c r="E423" s="1"/>
      <c r="F423" s="1"/>
      <c r="G423" s="1"/>
      <c r="H423" s="1"/>
      <c r="I423" s="1"/>
    </row>
    <row r="424" spans="2:9" x14ac:dyDescent="0.25">
      <c r="B424" s="1"/>
      <c r="C424" s="1"/>
      <c r="D424" s="1"/>
      <c r="E424" s="1"/>
      <c r="F424" s="1"/>
      <c r="G424" s="1"/>
      <c r="H424" s="1"/>
      <c r="I424" s="1"/>
    </row>
    <row r="425" spans="2:9" x14ac:dyDescent="0.25">
      <c r="B425" s="1"/>
      <c r="C425" s="1"/>
      <c r="D425" s="1"/>
      <c r="E425" s="1"/>
      <c r="F425" s="1"/>
      <c r="G425" s="1"/>
      <c r="H425" s="1"/>
      <c r="I425" s="1"/>
    </row>
    <row r="426" spans="2:9" x14ac:dyDescent="0.25">
      <c r="B426" s="1"/>
      <c r="C426" s="1"/>
      <c r="D426" s="1"/>
      <c r="E426" s="1"/>
      <c r="F426" s="1"/>
      <c r="G426" s="1"/>
      <c r="H426" s="1"/>
      <c r="I426" s="1"/>
    </row>
    <row r="427" spans="2:9" x14ac:dyDescent="0.25">
      <c r="B427" s="1"/>
      <c r="C427" s="1"/>
      <c r="D427" s="1"/>
      <c r="E427" s="1"/>
      <c r="F427" s="1"/>
      <c r="G427" s="1"/>
      <c r="H427" s="1"/>
      <c r="I427" s="1"/>
    </row>
    <row r="428" spans="2:9" x14ac:dyDescent="0.25">
      <c r="B428" s="1"/>
      <c r="C428" s="1"/>
      <c r="D428" s="1"/>
      <c r="E428" s="1"/>
      <c r="F428" s="1"/>
      <c r="G428" s="1"/>
      <c r="H428" s="1"/>
      <c r="I428" s="1"/>
    </row>
    <row r="429" spans="2:9" x14ac:dyDescent="0.25">
      <c r="B429" s="1"/>
      <c r="C429" s="1"/>
      <c r="D429" s="1"/>
      <c r="E429" s="1"/>
      <c r="F429" s="1"/>
      <c r="G429" s="1"/>
      <c r="H429" s="1"/>
      <c r="I429" s="1"/>
    </row>
    <row r="430" spans="2:9" x14ac:dyDescent="0.25">
      <c r="B430" s="1"/>
      <c r="C430" s="1"/>
      <c r="D430" s="1"/>
      <c r="E430" s="1"/>
      <c r="F430" s="1"/>
      <c r="G430" s="1"/>
      <c r="H430" s="1"/>
      <c r="I430" s="1"/>
    </row>
    <row r="431" spans="2:9" x14ac:dyDescent="0.25">
      <c r="B431" s="1"/>
      <c r="C431" s="1"/>
      <c r="D431" s="1"/>
      <c r="E431" s="1"/>
      <c r="F431" s="1"/>
      <c r="G431" s="1"/>
      <c r="H431" s="1"/>
      <c r="I431" s="1"/>
    </row>
    <row r="432" spans="2:9" x14ac:dyDescent="0.25">
      <c r="B432" s="1"/>
      <c r="C432" s="1"/>
      <c r="D432" s="1"/>
      <c r="E432" s="1"/>
      <c r="F432" s="1"/>
      <c r="G432" s="1"/>
      <c r="H432" s="1"/>
      <c r="I432" s="1"/>
    </row>
    <row r="433" spans="2:9" x14ac:dyDescent="0.25">
      <c r="B433" s="1"/>
      <c r="C433" s="1"/>
      <c r="D433" s="1"/>
      <c r="E433" s="1"/>
      <c r="F433" s="1"/>
      <c r="G433" s="1"/>
      <c r="H433" s="1"/>
      <c r="I433" s="1"/>
    </row>
    <row r="434" spans="2:9" x14ac:dyDescent="0.25">
      <c r="B434" s="1"/>
      <c r="C434" s="1"/>
      <c r="D434" s="1"/>
      <c r="E434" s="1"/>
      <c r="F434" s="1"/>
      <c r="G434" s="1"/>
      <c r="H434" s="1"/>
      <c r="I434" s="1"/>
    </row>
    <row r="435" spans="2:9" x14ac:dyDescent="0.25">
      <c r="B435" s="1"/>
      <c r="C435" s="1"/>
      <c r="D435" s="1"/>
      <c r="E435" s="1"/>
      <c r="F435" s="1"/>
      <c r="G435" s="1"/>
      <c r="H435" s="1"/>
      <c r="I435" s="1"/>
    </row>
    <row r="436" spans="2:9" x14ac:dyDescent="0.25">
      <c r="B436" s="1"/>
      <c r="C436" s="1"/>
      <c r="D436" s="1"/>
      <c r="E436" s="1"/>
      <c r="F436" s="1"/>
      <c r="G436" s="1"/>
      <c r="H436" s="1"/>
      <c r="I436" s="1"/>
    </row>
    <row r="437" spans="2:9" x14ac:dyDescent="0.25">
      <c r="B437" s="1"/>
      <c r="C437" s="1"/>
      <c r="D437" s="1"/>
      <c r="E437" s="1"/>
      <c r="F437" s="1"/>
      <c r="G437" s="1"/>
      <c r="H437" s="1"/>
      <c r="I437" s="1"/>
    </row>
    <row r="438" spans="2:9" x14ac:dyDescent="0.25">
      <c r="B438" s="1"/>
      <c r="C438" s="1"/>
      <c r="D438" s="1"/>
      <c r="E438" s="1"/>
      <c r="F438" s="1"/>
      <c r="G438" s="1"/>
      <c r="H438" s="1"/>
      <c r="I438" s="1"/>
    </row>
    <row r="439" spans="2:9" x14ac:dyDescent="0.25">
      <c r="B439" s="1"/>
      <c r="C439" s="1"/>
      <c r="D439" s="1"/>
      <c r="E439" s="1"/>
      <c r="F439" s="1"/>
      <c r="G439" s="1"/>
      <c r="H439" s="1"/>
      <c r="I439" s="1"/>
    </row>
    <row r="440" spans="2:9" x14ac:dyDescent="0.25">
      <c r="B440" s="1"/>
      <c r="C440" s="1"/>
      <c r="D440" s="1"/>
      <c r="E440" s="1"/>
      <c r="F440" s="1"/>
      <c r="G440" s="1"/>
      <c r="H440" s="1"/>
      <c r="I440" s="1"/>
    </row>
    <row r="441" spans="2:9" x14ac:dyDescent="0.25">
      <c r="B441" s="1"/>
      <c r="C441" s="1"/>
      <c r="D441" s="1"/>
      <c r="E441" s="1"/>
      <c r="F441" s="1"/>
      <c r="G441" s="1"/>
      <c r="H441" s="1"/>
      <c r="I441" s="1"/>
    </row>
    <row r="442" spans="2:9" x14ac:dyDescent="0.25">
      <c r="B442" s="1"/>
      <c r="C442" s="1"/>
      <c r="D442" s="1"/>
      <c r="E442" s="1"/>
      <c r="F442" s="1"/>
      <c r="G442" s="1"/>
      <c r="H442" s="1"/>
      <c r="I442" s="1"/>
    </row>
    <row r="443" spans="2:9" x14ac:dyDescent="0.25">
      <c r="B443" s="1"/>
      <c r="C443" s="1"/>
      <c r="D443" s="1"/>
      <c r="E443" s="1"/>
      <c r="F443" s="1"/>
      <c r="G443" s="1"/>
      <c r="H443" s="1"/>
      <c r="I443" s="1"/>
    </row>
    <row r="444" spans="2:9" x14ac:dyDescent="0.25">
      <c r="B444" s="1"/>
      <c r="C444" s="1"/>
      <c r="D444" s="1"/>
      <c r="E444" s="1"/>
      <c r="F444" s="1"/>
      <c r="G444" s="1"/>
      <c r="H444" s="1"/>
      <c r="I444" s="1"/>
    </row>
    <row r="445" spans="2:9" x14ac:dyDescent="0.25">
      <c r="B445" s="1"/>
      <c r="C445" s="1"/>
      <c r="D445" s="1"/>
      <c r="E445" s="1"/>
      <c r="F445" s="1"/>
      <c r="G445" s="1"/>
      <c r="H445" s="1"/>
      <c r="I445" s="1"/>
    </row>
    <row r="446" spans="2:9" x14ac:dyDescent="0.25">
      <c r="B446" s="1"/>
      <c r="C446" s="1"/>
      <c r="D446" s="1"/>
      <c r="E446" s="1"/>
      <c r="F446" s="1"/>
      <c r="G446" s="1"/>
      <c r="H446" s="1"/>
      <c r="I446" s="1"/>
    </row>
    <row r="447" spans="2:9" x14ac:dyDescent="0.25">
      <c r="B447" s="1"/>
      <c r="C447" s="1"/>
      <c r="D447" s="1"/>
      <c r="E447" s="1"/>
      <c r="F447" s="1"/>
      <c r="G447" s="1"/>
      <c r="H447" s="1"/>
      <c r="I447" s="1"/>
    </row>
    <row r="448" spans="2:9" x14ac:dyDescent="0.25">
      <c r="B448" s="1"/>
      <c r="C448" s="1"/>
      <c r="D448" s="1"/>
      <c r="E448" s="1"/>
      <c r="F448" s="1"/>
      <c r="G448" s="1"/>
      <c r="H448" s="1"/>
      <c r="I448" s="1"/>
    </row>
    <row r="449" spans="2:9" x14ac:dyDescent="0.25">
      <c r="B449" s="1"/>
      <c r="C449" s="1"/>
      <c r="D449" s="1"/>
      <c r="E449" s="1"/>
      <c r="F449" s="1"/>
      <c r="G449" s="1"/>
      <c r="H449" s="1"/>
      <c r="I449" s="1"/>
    </row>
    <row r="450" spans="2:9" x14ac:dyDescent="0.25">
      <c r="B450" s="1"/>
      <c r="C450" s="1"/>
      <c r="D450" s="1"/>
      <c r="E450" s="1"/>
      <c r="F450" s="1"/>
      <c r="G450" s="1"/>
      <c r="H450" s="1"/>
      <c r="I450" s="1"/>
    </row>
    <row r="451" spans="2:9" x14ac:dyDescent="0.25">
      <c r="B451" s="1"/>
      <c r="C451" s="1"/>
      <c r="D451" s="1"/>
      <c r="E451" s="1"/>
      <c r="F451" s="1"/>
      <c r="G451" s="1"/>
      <c r="H451" s="1"/>
      <c r="I451" s="1"/>
    </row>
    <row r="452" spans="2:9" x14ac:dyDescent="0.25">
      <c r="B452" s="1"/>
      <c r="C452" s="1"/>
      <c r="D452" s="1"/>
      <c r="E452" s="1"/>
      <c r="F452" s="1"/>
      <c r="G452" s="1"/>
      <c r="H452" s="1"/>
      <c r="I452" s="1"/>
    </row>
    <row r="453" spans="2:9" x14ac:dyDescent="0.25">
      <c r="B453" s="1"/>
      <c r="C453" s="1"/>
      <c r="D453" s="1"/>
      <c r="E453" s="1"/>
      <c r="F453" s="1"/>
      <c r="G453" s="1"/>
      <c r="H453" s="1"/>
      <c r="I453" s="1"/>
    </row>
    <row r="454" spans="2:9" x14ac:dyDescent="0.25">
      <c r="B454" s="1"/>
      <c r="C454" s="1"/>
      <c r="D454" s="1"/>
      <c r="E454" s="1"/>
      <c r="F454" s="1"/>
      <c r="G454" s="1"/>
      <c r="H454" s="1"/>
      <c r="I454" s="1"/>
    </row>
    <row r="455" spans="2:9" x14ac:dyDescent="0.25">
      <c r="B455" s="1"/>
      <c r="C455" s="1"/>
      <c r="D455" s="1"/>
      <c r="E455" s="1"/>
      <c r="F455" s="1"/>
      <c r="G455" s="1"/>
      <c r="H455" s="1"/>
      <c r="I455" s="1"/>
    </row>
    <row r="456" spans="2:9" x14ac:dyDescent="0.25">
      <c r="B456" s="1"/>
      <c r="C456" s="1"/>
      <c r="D456" s="1"/>
      <c r="E456" s="1"/>
      <c r="F456" s="1"/>
      <c r="G456" s="1"/>
      <c r="H456" s="1"/>
      <c r="I456" s="1"/>
    </row>
    <row r="457" spans="2:9" x14ac:dyDescent="0.25">
      <c r="B457" s="1"/>
      <c r="C457" s="1"/>
      <c r="D457" s="1"/>
      <c r="E457" s="1"/>
      <c r="F457" s="1"/>
      <c r="G457" s="1"/>
      <c r="H457" s="1"/>
      <c r="I457" s="1"/>
    </row>
    <row r="458" spans="2:9" x14ac:dyDescent="0.25">
      <c r="B458" s="1"/>
      <c r="C458" s="1"/>
      <c r="D458" s="1"/>
      <c r="E458" s="1"/>
      <c r="F458" s="1"/>
      <c r="G458" s="1"/>
      <c r="H458" s="1"/>
      <c r="I458" s="1"/>
    </row>
    <row r="459" spans="2:9" x14ac:dyDescent="0.25">
      <c r="B459" s="1"/>
      <c r="C459" s="1"/>
      <c r="D459" s="1"/>
      <c r="E459" s="1"/>
      <c r="F459" s="1"/>
      <c r="G459" s="1"/>
      <c r="H459" s="1"/>
      <c r="I459" s="1"/>
    </row>
    <row r="460" spans="2:9" x14ac:dyDescent="0.25">
      <c r="B460" s="1"/>
      <c r="C460" s="1"/>
      <c r="D460" s="1"/>
      <c r="E460" s="1"/>
      <c r="F460" s="1"/>
      <c r="G460" s="1"/>
      <c r="H460" s="1"/>
      <c r="I460" s="1"/>
    </row>
    <row r="461" spans="2:9" x14ac:dyDescent="0.25">
      <c r="B461" s="1"/>
      <c r="C461" s="1"/>
      <c r="D461" s="1"/>
      <c r="E461" s="1"/>
      <c r="F461" s="1"/>
      <c r="G461" s="1"/>
      <c r="H461" s="1"/>
      <c r="I461" s="1"/>
    </row>
    <row r="462" spans="2:9" x14ac:dyDescent="0.25">
      <c r="B462" s="1"/>
      <c r="C462" s="1"/>
      <c r="D462" s="1"/>
      <c r="E462" s="1"/>
      <c r="F462" s="1"/>
      <c r="G462" s="1"/>
      <c r="H462" s="1"/>
      <c r="I462" s="1"/>
    </row>
    <row r="463" spans="2:9" x14ac:dyDescent="0.25">
      <c r="B463" s="1"/>
      <c r="C463" s="1"/>
      <c r="D463" s="1"/>
      <c r="E463" s="1"/>
      <c r="F463" s="1"/>
      <c r="G463" s="1"/>
      <c r="H463" s="1"/>
      <c r="I463" s="1"/>
    </row>
    <row r="464" spans="2:9" x14ac:dyDescent="0.25">
      <c r="B464" s="1"/>
      <c r="C464" s="1"/>
      <c r="D464" s="1"/>
      <c r="E464" s="1"/>
      <c r="F464" s="1"/>
      <c r="G464" s="1"/>
      <c r="H464" s="1"/>
      <c r="I464" s="1"/>
    </row>
    <row r="465" spans="2:9" x14ac:dyDescent="0.25">
      <c r="B465" s="1"/>
      <c r="C465" s="1"/>
      <c r="D465" s="1"/>
      <c r="E465" s="1"/>
      <c r="F465" s="1"/>
      <c r="G465" s="1"/>
      <c r="H465" s="1"/>
      <c r="I465" s="1"/>
    </row>
    <row r="466" spans="2:9" x14ac:dyDescent="0.25">
      <c r="B466" s="1"/>
      <c r="C466" s="1"/>
      <c r="D466" s="1"/>
      <c r="E466" s="1"/>
      <c r="F466" s="1"/>
      <c r="G466" s="1"/>
      <c r="H466" s="1"/>
      <c r="I466" s="1"/>
    </row>
    <row r="467" spans="2:9" x14ac:dyDescent="0.25">
      <c r="B467" s="1"/>
      <c r="C467" s="1"/>
      <c r="D467" s="1"/>
      <c r="E467" s="1"/>
      <c r="F467" s="1"/>
      <c r="G467" s="1"/>
      <c r="H467" s="1"/>
      <c r="I467" s="1"/>
    </row>
    <row r="468" spans="2:9" x14ac:dyDescent="0.25">
      <c r="B468" s="1"/>
      <c r="C468" s="1"/>
      <c r="D468" s="1"/>
      <c r="E468" s="1"/>
      <c r="F468" s="1"/>
      <c r="G468" s="1"/>
      <c r="H468" s="1"/>
      <c r="I468" s="1"/>
    </row>
    <row r="469" spans="2:9" x14ac:dyDescent="0.25">
      <c r="B469" s="1"/>
      <c r="C469" s="1"/>
      <c r="D469" s="1"/>
      <c r="E469" s="1"/>
      <c r="F469" s="1"/>
      <c r="G469" s="1"/>
      <c r="H469" s="1"/>
      <c r="I469" s="1"/>
    </row>
    <row r="470" spans="2:9" x14ac:dyDescent="0.25">
      <c r="B470" s="1"/>
      <c r="C470" s="1"/>
      <c r="D470" s="1"/>
      <c r="E470" s="1"/>
      <c r="F470" s="1"/>
      <c r="G470" s="1"/>
      <c r="H470" s="1"/>
      <c r="I470" s="1"/>
    </row>
    <row r="471" spans="2:9" x14ac:dyDescent="0.25">
      <c r="B471" s="1"/>
      <c r="C471" s="1"/>
      <c r="D471" s="1"/>
      <c r="E471" s="1"/>
      <c r="F471" s="1"/>
      <c r="G471" s="1"/>
      <c r="H471" s="1"/>
      <c r="I471" s="1"/>
    </row>
    <row r="472" spans="2:9" x14ac:dyDescent="0.25">
      <c r="B472" s="1"/>
      <c r="C472" s="1"/>
      <c r="D472" s="1"/>
      <c r="E472" s="1"/>
      <c r="F472" s="1"/>
      <c r="G472" s="1"/>
      <c r="H472" s="1"/>
      <c r="I472" s="1"/>
    </row>
    <row r="473" spans="2:9" x14ac:dyDescent="0.25">
      <c r="B473" s="1"/>
      <c r="C473" s="1"/>
      <c r="D473" s="1"/>
      <c r="E473" s="1"/>
      <c r="F473" s="1"/>
      <c r="G473" s="1"/>
      <c r="H473" s="1"/>
      <c r="I473" s="1"/>
    </row>
    <row r="474" spans="2:9" x14ac:dyDescent="0.25">
      <c r="B474" s="1"/>
      <c r="C474" s="1"/>
      <c r="D474" s="1"/>
      <c r="E474" s="1"/>
      <c r="F474" s="1"/>
      <c r="G474" s="1"/>
      <c r="H474" s="1"/>
      <c r="I474" s="1"/>
    </row>
    <row r="475" spans="2:9" x14ac:dyDescent="0.25">
      <c r="B475" s="1"/>
      <c r="C475" s="1"/>
      <c r="D475" s="1"/>
      <c r="E475" s="1"/>
      <c r="F475" s="1"/>
      <c r="G475" s="1"/>
      <c r="H475" s="1"/>
      <c r="I475" s="1"/>
    </row>
    <row r="476" spans="2:9" x14ac:dyDescent="0.25">
      <c r="B476" s="1"/>
      <c r="C476" s="1"/>
      <c r="D476" s="1"/>
      <c r="E476" s="1"/>
      <c r="F476" s="1"/>
      <c r="G476" s="1"/>
      <c r="H476" s="1"/>
      <c r="I476" s="1"/>
    </row>
    <row r="477" spans="2:9" x14ac:dyDescent="0.25">
      <c r="B477" s="1"/>
      <c r="C477" s="1"/>
      <c r="D477" s="1"/>
      <c r="E477" s="1"/>
      <c r="F477" s="1"/>
      <c r="G477" s="1"/>
      <c r="H477" s="1"/>
      <c r="I477" s="1"/>
    </row>
    <row r="478" spans="2:9" x14ac:dyDescent="0.25">
      <c r="B478" s="1"/>
      <c r="C478" s="1"/>
      <c r="D478" s="1"/>
      <c r="E478" s="1"/>
      <c r="F478" s="1"/>
      <c r="G478" s="1"/>
      <c r="H478" s="1"/>
      <c r="I478" s="1"/>
    </row>
    <row r="479" spans="2:9" x14ac:dyDescent="0.25">
      <c r="B479" s="1"/>
      <c r="C479" s="1"/>
      <c r="D479" s="1"/>
      <c r="E479" s="1"/>
      <c r="F479" s="1"/>
      <c r="G479" s="1"/>
      <c r="H479" s="1"/>
      <c r="I479" s="1"/>
    </row>
    <row r="480" spans="2:9" x14ac:dyDescent="0.25">
      <c r="B480" s="1"/>
      <c r="C480" s="1"/>
      <c r="D480" s="1"/>
      <c r="E480" s="1"/>
      <c r="F480" s="1"/>
      <c r="G480" s="1"/>
      <c r="H480" s="1"/>
      <c r="I480" s="1"/>
    </row>
    <row r="481" spans="2:9" x14ac:dyDescent="0.25">
      <c r="B481" s="1"/>
      <c r="C481" s="1"/>
      <c r="D481" s="1"/>
      <c r="E481" s="1"/>
      <c r="F481" s="1"/>
      <c r="G481" s="1"/>
      <c r="H481" s="1"/>
      <c r="I481" s="1"/>
    </row>
    <row r="482" spans="2:9" x14ac:dyDescent="0.25">
      <c r="B482" s="1"/>
      <c r="C482" s="1"/>
      <c r="D482" s="1"/>
      <c r="E482" s="1"/>
      <c r="F482" s="1"/>
      <c r="G482" s="1"/>
      <c r="H482" s="1"/>
      <c r="I482" s="1"/>
    </row>
    <row r="483" spans="2:9" x14ac:dyDescent="0.25">
      <c r="B483" s="1"/>
      <c r="C483" s="1"/>
      <c r="D483" s="1"/>
      <c r="E483" s="1"/>
      <c r="F483" s="1"/>
      <c r="G483" s="1"/>
      <c r="H483" s="1"/>
      <c r="I483" s="1"/>
    </row>
    <row r="484" spans="2:9" x14ac:dyDescent="0.25">
      <c r="B484" s="1"/>
      <c r="C484" s="1"/>
      <c r="D484" s="1"/>
      <c r="E484" s="1"/>
      <c r="F484" s="1"/>
      <c r="G484" s="1"/>
      <c r="H484" s="1"/>
      <c r="I484" s="1"/>
    </row>
    <row r="485" spans="2:9" x14ac:dyDescent="0.25">
      <c r="B485" s="1"/>
      <c r="C485" s="1"/>
      <c r="D485" s="1"/>
      <c r="E485" s="1"/>
      <c r="F485" s="1"/>
      <c r="G485" s="1"/>
      <c r="H485" s="1"/>
      <c r="I485" s="1"/>
    </row>
    <row r="486" spans="2:9" x14ac:dyDescent="0.25">
      <c r="B486" s="1"/>
      <c r="C486" s="1"/>
      <c r="D486" s="1"/>
      <c r="E486" s="1"/>
      <c r="F486" s="1"/>
      <c r="G486" s="1"/>
      <c r="H486" s="1"/>
      <c r="I486" s="1"/>
    </row>
    <row r="487" spans="2:9" x14ac:dyDescent="0.25">
      <c r="B487" s="1"/>
      <c r="C487" s="1"/>
      <c r="D487" s="1"/>
      <c r="E487" s="1"/>
      <c r="F487" s="1"/>
      <c r="G487" s="1"/>
      <c r="H487" s="1"/>
      <c r="I487" s="1"/>
    </row>
    <row r="488" spans="2:9" x14ac:dyDescent="0.25">
      <c r="B488" s="1"/>
      <c r="C488" s="1"/>
      <c r="D488" s="1"/>
      <c r="E488" s="1"/>
      <c r="F488" s="1"/>
      <c r="G488" s="1"/>
      <c r="H488" s="1"/>
      <c r="I488" s="1"/>
    </row>
    <row r="489" spans="2:9" x14ac:dyDescent="0.25">
      <c r="B489" s="1"/>
      <c r="C489" s="1"/>
      <c r="D489" s="1"/>
      <c r="E489" s="1"/>
      <c r="F489" s="1"/>
      <c r="G489" s="1"/>
      <c r="H489" s="1"/>
      <c r="I489" s="1"/>
    </row>
    <row r="490" spans="2:9" x14ac:dyDescent="0.25">
      <c r="B490" s="1"/>
      <c r="C490" s="1"/>
      <c r="D490" s="1"/>
      <c r="E490" s="1"/>
      <c r="F490" s="1"/>
      <c r="G490" s="1"/>
      <c r="H490" s="1"/>
      <c r="I490" s="1"/>
    </row>
    <row r="491" spans="2:9" x14ac:dyDescent="0.25">
      <c r="B491" s="1"/>
      <c r="C491" s="1"/>
      <c r="D491" s="1"/>
      <c r="E491" s="1"/>
      <c r="F491" s="1"/>
      <c r="G491" s="1"/>
      <c r="H491" s="1"/>
      <c r="I491" s="1"/>
    </row>
    <row r="492" spans="2:9" x14ac:dyDescent="0.25">
      <c r="B492" s="1"/>
      <c r="C492" s="1"/>
      <c r="D492" s="1"/>
      <c r="E492" s="1"/>
      <c r="F492" s="1"/>
      <c r="G492" s="1"/>
      <c r="H492" s="1"/>
      <c r="I492" s="1"/>
    </row>
    <row r="493" spans="2:9" x14ac:dyDescent="0.25">
      <c r="B493" s="1"/>
      <c r="C493" s="1"/>
      <c r="D493" s="1"/>
      <c r="E493" s="1"/>
      <c r="F493" s="1"/>
      <c r="G493" s="1"/>
      <c r="H493" s="1"/>
      <c r="I493" s="1"/>
    </row>
    <row r="494" spans="2:9" x14ac:dyDescent="0.25">
      <c r="B494" s="1"/>
      <c r="C494" s="1"/>
      <c r="D494" s="1"/>
      <c r="E494" s="1"/>
      <c r="F494" s="1"/>
      <c r="G494" s="1"/>
      <c r="H494" s="1"/>
      <c r="I494" s="1"/>
    </row>
    <row r="495" spans="2:9" x14ac:dyDescent="0.25">
      <c r="B495" s="1"/>
      <c r="C495" s="1"/>
      <c r="D495" s="1"/>
      <c r="E495" s="1"/>
      <c r="F495" s="1"/>
      <c r="G495" s="1"/>
      <c r="H495" s="1"/>
      <c r="I495" s="1"/>
    </row>
    <row r="496" spans="2:9" x14ac:dyDescent="0.25">
      <c r="B496" s="1"/>
      <c r="C496" s="1"/>
      <c r="D496" s="1"/>
      <c r="E496" s="1"/>
      <c r="F496" s="1"/>
      <c r="G496" s="1"/>
      <c r="H496" s="1"/>
      <c r="I496" s="1"/>
    </row>
    <row r="497" spans="2:9" x14ac:dyDescent="0.25">
      <c r="B497" s="1"/>
      <c r="C497" s="1"/>
      <c r="D497" s="1"/>
      <c r="E497" s="1"/>
      <c r="F497" s="1"/>
      <c r="G497" s="1"/>
      <c r="H497" s="1"/>
      <c r="I497" s="1"/>
    </row>
    <row r="498" spans="2:9" x14ac:dyDescent="0.25">
      <c r="B498" s="1"/>
      <c r="C498" s="1"/>
      <c r="D498" s="1"/>
      <c r="E498" s="1"/>
      <c r="F498" s="1"/>
      <c r="G498" s="1"/>
      <c r="H498" s="1"/>
      <c r="I498" s="1"/>
    </row>
    <row r="499" spans="2:9" x14ac:dyDescent="0.25">
      <c r="B499" s="1"/>
      <c r="C499" s="1"/>
      <c r="D499" s="1"/>
      <c r="E499" s="1"/>
      <c r="F499" s="1"/>
      <c r="G499" s="1"/>
      <c r="H499" s="1"/>
      <c r="I499" s="1"/>
    </row>
    <row r="500" spans="2:9" x14ac:dyDescent="0.25">
      <c r="B500" s="1"/>
      <c r="C500" s="1"/>
      <c r="D500" s="1"/>
      <c r="E500" s="1"/>
      <c r="F500" s="1"/>
      <c r="G500" s="1"/>
      <c r="H500" s="1"/>
      <c r="I500" s="1"/>
    </row>
    <row r="501" spans="2:9" x14ac:dyDescent="0.25">
      <c r="B501" s="1"/>
      <c r="C501" s="1"/>
      <c r="D501" s="1"/>
      <c r="E501" s="1"/>
      <c r="F501" s="1"/>
      <c r="G501" s="1"/>
      <c r="H501" s="1"/>
      <c r="I501" s="1"/>
    </row>
    <row r="502" spans="2:9" x14ac:dyDescent="0.25">
      <c r="B502" s="1"/>
      <c r="C502" s="1"/>
      <c r="D502" s="1"/>
      <c r="E502" s="1"/>
      <c r="F502" s="1"/>
      <c r="G502" s="1"/>
      <c r="H502" s="1"/>
      <c r="I502" s="1"/>
    </row>
    <row r="503" spans="2:9" x14ac:dyDescent="0.25">
      <c r="B503" s="1"/>
      <c r="C503" s="1"/>
      <c r="D503" s="1"/>
      <c r="E503" s="1"/>
      <c r="F503" s="1"/>
      <c r="G503" s="1"/>
      <c r="H503" s="1"/>
      <c r="I503" s="1"/>
    </row>
    <row r="504" spans="2:9" x14ac:dyDescent="0.25">
      <c r="B504" s="1"/>
      <c r="C504" s="1"/>
      <c r="D504" s="1"/>
      <c r="E504" s="1"/>
      <c r="F504" s="1"/>
      <c r="G504" s="1"/>
      <c r="H504" s="1"/>
      <c r="I504" s="1"/>
    </row>
    <row r="505" spans="2:9" x14ac:dyDescent="0.25">
      <c r="B505" s="1"/>
      <c r="C505" s="1"/>
      <c r="D505" s="1"/>
      <c r="E505" s="1"/>
      <c r="F505" s="1"/>
      <c r="G505" s="1"/>
      <c r="H505" s="1"/>
      <c r="I505" s="1"/>
    </row>
    <row r="506" spans="2:9" x14ac:dyDescent="0.25">
      <c r="B506" s="1"/>
      <c r="C506" s="1"/>
      <c r="D506" s="1"/>
      <c r="E506" s="1"/>
      <c r="F506" s="1"/>
      <c r="G506" s="1"/>
      <c r="H506" s="1"/>
      <c r="I506" s="1"/>
    </row>
    <row r="507" spans="2:9" x14ac:dyDescent="0.25">
      <c r="B507" s="1"/>
      <c r="C507" s="1"/>
      <c r="D507" s="1"/>
      <c r="E507" s="1"/>
      <c r="F507" s="1"/>
      <c r="G507" s="1"/>
      <c r="H507" s="1"/>
      <c r="I507" s="1"/>
    </row>
    <row r="508" spans="2:9" x14ac:dyDescent="0.25">
      <c r="B508" s="1"/>
      <c r="C508" s="1"/>
      <c r="D508" s="1"/>
      <c r="E508" s="1"/>
      <c r="F508" s="1"/>
      <c r="G508" s="1"/>
      <c r="H508" s="1"/>
      <c r="I508" s="1"/>
    </row>
    <row r="509" spans="2:9" x14ac:dyDescent="0.25">
      <c r="B509" s="1"/>
      <c r="C509" s="1"/>
      <c r="D509" s="1"/>
      <c r="E509" s="1"/>
      <c r="F509" s="1"/>
      <c r="G509" s="1"/>
      <c r="H509" s="1"/>
      <c r="I509" s="1"/>
    </row>
    <row r="510" spans="2:9" x14ac:dyDescent="0.25">
      <c r="B510" s="1"/>
      <c r="C510" s="1"/>
      <c r="D510" s="1"/>
      <c r="E510" s="1"/>
      <c r="F510" s="1"/>
      <c r="G510" s="1"/>
      <c r="H510" s="1"/>
      <c r="I510" s="1"/>
    </row>
    <row r="511" spans="2:9" x14ac:dyDescent="0.25">
      <c r="B511" s="1"/>
      <c r="C511" s="1"/>
      <c r="D511" s="1"/>
      <c r="E511" s="1"/>
      <c r="F511" s="1"/>
      <c r="G511" s="1"/>
      <c r="H511" s="1"/>
      <c r="I511" s="1"/>
    </row>
    <row r="512" spans="2:9" x14ac:dyDescent="0.25">
      <c r="B512" s="1"/>
      <c r="C512" s="1"/>
      <c r="D512" s="1"/>
      <c r="E512" s="1"/>
      <c r="F512" s="1"/>
      <c r="G512" s="1"/>
      <c r="H512" s="1"/>
      <c r="I512" s="1"/>
    </row>
    <row r="513" spans="2:9" x14ac:dyDescent="0.25">
      <c r="B513" s="1"/>
      <c r="C513" s="1"/>
      <c r="D513" s="1"/>
      <c r="E513" s="1"/>
      <c r="F513" s="1"/>
      <c r="G513" s="1"/>
      <c r="H513" s="1"/>
      <c r="I513" s="1"/>
    </row>
    <row r="514" spans="2:9" x14ac:dyDescent="0.25">
      <c r="B514" s="1"/>
      <c r="C514" s="1"/>
      <c r="D514" s="1"/>
      <c r="E514" s="1"/>
      <c r="F514" s="1"/>
      <c r="G514" s="1"/>
      <c r="H514" s="1"/>
      <c r="I514" s="1"/>
    </row>
    <row r="515" spans="2:9" x14ac:dyDescent="0.25">
      <c r="B515" s="1"/>
      <c r="C515" s="1"/>
      <c r="D515" s="1"/>
      <c r="E515" s="1"/>
      <c r="F515" s="1"/>
      <c r="G515" s="1"/>
      <c r="H515" s="1"/>
      <c r="I515" s="1"/>
    </row>
    <row r="516" spans="2:9" x14ac:dyDescent="0.25">
      <c r="B516" s="1"/>
      <c r="C516" s="1"/>
      <c r="D516" s="1"/>
      <c r="E516" s="1"/>
      <c r="F516" s="1"/>
      <c r="G516" s="1"/>
      <c r="H516" s="1"/>
      <c r="I516" s="1"/>
    </row>
    <row r="517" spans="2:9" x14ac:dyDescent="0.25">
      <c r="B517" s="1"/>
      <c r="C517" s="1"/>
      <c r="D517" s="1"/>
      <c r="E517" s="1"/>
      <c r="F517" s="1"/>
      <c r="G517" s="1"/>
      <c r="H517" s="1"/>
      <c r="I517" s="1"/>
    </row>
    <row r="518" spans="2:9" x14ac:dyDescent="0.25">
      <c r="B518" s="1"/>
      <c r="C518" s="1"/>
      <c r="D518" s="1"/>
      <c r="E518" s="1"/>
      <c r="F518" s="1"/>
      <c r="G518" s="1"/>
      <c r="H518" s="1"/>
      <c r="I518" s="1"/>
    </row>
    <row r="519" spans="2:9" x14ac:dyDescent="0.25">
      <c r="B519" s="1"/>
      <c r="C519" s="1"/>
      <c r="D519" s="1"/>
      <c r="E519" s="1"/>
      <c r="F519" s="1"/>
      <c r="G519" s="1"/>
      <c r="H519" s="1"/>
      <c r="I519" s="1"/>
    </row>
    <row r="520" spans="2:9" x14ac:dyDescent="0.25">
      <c r="B520" s="1"/>
      <c r="C520" s="1"/>
      <c r="D520" s="1"/>
      <c r="E520" s="1"/>
      <c r="F520" s="1"/>
      <c r="G520" s="1"/>
      <c r="H520" s="1"/>
      <c r="I520" s="1"/>
    </row>
    <row r="521" spans="2:9" x14ac:dyDescent="0.25">
      <c r="B521" s="1"/>
      <c r="C521" s="1"/>
      <c r="D521" s="1"/>
      <c r="E521" s="1"/>
      <c r="F521" s="1"/>
      <c r="G521" s="1"/>
      <c r="H521" s="1"/>
      <c r="I521" s="1"/>
    </row>
    <row r="522" spans="2:9" x14ac:dyDescent="0.25">
      <c r="B522" s="1"/>
      <c r="C522" s="1"/>
      <c r="D522" s="1"/>
      <c r="E522" s="1"/>
      <c r="F522" s="1"/>
      <c r="G522" s="1"/>
      <c r="H522" s="1"/>
      <c r="I522" s="1"/>
    </row>
    <row r="523" spans="2:9" x14ac:dyDescent="0.25">
      <c r="B523" s="1"/>
      <c r="C523" s="1"/>
      <c r="D523" s="1"/>
      <c r="E523" s="1"/>
      <c r="F523" s="1"/>
      <c r="G523" s="1"/>
      <c r="H523" s="1"/>
      <c r="I523" s="1"/>
    </row>
    <row r="524" spans="2:9" x14ac:dyDescent="0.25">
      <c r="B524" s="1"/>
      <c r="C524" s="1"/>
      <c r="D524" s="1"/>
      <c r="E524" s="1"/>
      <c r="F524" s="1"/>
      <c r="G524" s="1"/>
      <c r="H524" s="1"/>
      <c r="I524" s="1"/>
    </row>
    <row r="525" spans="2:9" x14ac:dyDescent="0.25">
      <c r="B525" s="1"/>
      <c r="C525" s="1"/>
      <c r="D525" s="1"/>
      <c r="E525" s="1"/>
      <c r="F525" s="1"/>
      <c r="G525" s="1"/>
      <c r="H525" s="1"/>
      <c r="I525" s="1"/>
    </row>
    <row r="526" spans="2:9" x14ac:dyDescent="0.25">
      <c r="B526" s="1"/>
      <c r="C526" s="1"/>
      <c r="D526" s="1"/>
      <c r="E526" s="1"/>
      <c r="F526" s="1"/>
      <c r="G526" s="1"/>
      <c r="H526" s="1"/>
      <c r="I526" s="1"/>
    </row>
    <row r="527" spans="2:9" x14ac:dyDescent="0.25">
      <c r="B527" s="1"/>
      <c r="C527" s="1"/>
      <c r="D527" s="1"/>
      <c r="E527" s="1"/>
      <c r="F527" s="1"/>
      <c r="G527" s="1"/>
      <c r="H527" s="1"/>
      <c r="I527" s="1"/>
    </row>
    <row r="528" spans="2:9" x14ac:dyDescent="0.25">
      <c r="B528" s="1"/>
      <c r="C528" s="1"/>
      <c r="D528" s="1"/>
      <c r="E528" s="1"/>
      <c r="F528" s="1"/>
      <c r="G528" s="1"/>
      <c r="H528" s="1"/>
      <c r="I528" s="1"/>
    </row>
    <row r="529" spans="2:9" x14ac:dyDescent="0.25">
      <c r="B529" s="1"/>
      <c r="C529" s="1"/>
      <c r="D529" s="1"/>
      <c r="E529" s="1"/>
      <c r="F529" s="1"/>
      <c r="G529" s="1"/>
      <c r="H529" s="1"/>
      <c r="I529" s="1"/>
    </row>
    <row r="530" spans="2:9" x14ac:dyDescent="0.25">
      <c r="B530" s="1"/>
      <c r="C530" s="1"/>
      <c r="D530" s="1"/>
      <c r="E530" s="1"/>
      <c r="F530" s="1"/>
      <c r="G530" s="1"/>
      <c r="H530" s="1"/>
      <c r="I530" s="1"/>
    </row>
    <row r="531" spans="2:9" x14ac:dyDescent="0.25">
      <c r="B531" s="1"/>
      <c r="C531" s="1"/>
      <c r="D531" s="1"/>
      <c r="E531" s="1"/>
      <c r="F531" s="1"/>
      <c r="G531" s="1"/>
      <c r="H531" s="1"/>
      <c r="I531" s="1"/>
    </row>
    <row r="532" spans="2:9" x14ac:dyDescent="0.25">
      <c r="B532" s="1"/>
      <c r="C532" s="1"/>
      <c r="D532" s="1"/>
      <c r="E532" s="1"/>
      <c r="F532" s="1"/>
      <c r="G532" s="1"/>
      <c r="H532" s="1"/>
      <c r="I532" s="1"/>
    </row>
    <row r="533" spans="2:9" x14ac:dyDescent="0.25">
      <c r="B533" s="1"/>
      <c r="C533" s="1"/>
      <c r="D533" s="1"/>
      <c r="E533" s="1"/>
      <c r="F533" s="1"/>
      <c r="G533" s="1"/>
      <c r="H533" s="1"/>
      <c r="I533" s="1"/>
    </row>
    <row r="534" spans="2:9" x14ac:dyDescent="0.25">
      <c r="B534" s="1"/>
      <c r="C534" s="1"/>
      <c r="D534" s="1"/>
      <c r="E534" s="1"/>
      <c r="F534" s="1"/>
      <c r="G534" s="1"/>
      <c r="H534" s="1"/>
      <c r="I534" s="1"/>
    </row>
    <row r="535" spans="2:9" x14ac:dyDescent="0.25">
      <c r="B535" s="1"/>
      <c r="C535" s="1"/>
      <c r="D535" s="1"/>
      <c r="E535" s="1"/>
      <c r="F535" s="1"/>
      <c r="G535" s="1"/>
      <c r="H535" s="1"/>
      <c r="I535" s="1"/>
    </row>
    <row r="536" spans="2:9" x14ac:dyDescent="0.25">
      <c r="B536" s="1"/>
      <c r="C536" s="1"/>
      <c r="D536" s="1"/>
      <c r="E536" s="1"/>
      <c r="F536" s="1"/>
      <c r="G536" s="1"/>
      <c r="H536" s="1"/>
      <c r="I536" s="1"/>
    </row>
    <row r="537" spans="2:9" x14ac:dyDescent="0.25">
      <c r="B537" s="1"/>
      <c r="C537" s="1"/>
      <c r="D537" s="1"/>
      <c r="E537" s="1"/>
      <c r="F537" s="1"/>
      <c r="G537" s="1"/>
      <c r="H537" s="1"/>
      <c r="I537" s="1"/>
    </row>
    <row r="538" spans="2:9" x14ac:dyDescent="0.25">
      <c r="B538" s="1"/>
      <c r="C538" s="1"/>
      <c r="D538" s="1"/>
      <c r="E538" s="1"/>
      <c r="F538" s="1"/>
      <c r="G538" s="1"/>
      <c r="H538" s="1"/>
      <c r="I538" s="1"/>
    </row>
    <row r="539" spans="2:9" x14ac:dyDescent="0.25">
      <c r="B539" s="1"/>
      <c r="C539" s="1"/>
      <c r="D539" s="1"/>
      <c r="E539" s="1"/>
      <c r="F539" s="1"/>
      <c r="G539" s="1"/>
      <c r="H539" s="1"/>
      <c r="I539" s="1"/>
    </row>
    <row r="540" spans="2:9" x14ac:dyDescent="0.25">
      <c r="B540" s="1"/>
      <c r="C540" s="1"/>
      <c r="D540" s="1"/>
      <c r="E540" s="1"/>
      <c r="F540" s="1"/>
      <c r="G540" s="1"/>
      <c r="H540" s="1"/>
      <c r="I540" s="1"/>
    </row>
    <row r="541" spans="2:9" x14ac:dyDescent="0.25">
      <c r="B541" s="1"/>
      <c r="C541" s="1"/>
      <c r="D541" s="1"/>
      <c r="E541" s="1"/>
      <c r="F541" s="1"/>
      <c r="G541" s="1"/>
      <c r="H541" s="1"/>
      <c r="I541" s="1"/>
    </row>
    <row r="542" spans="2:9" x14ac:dyDescent="0.25">
      <c r="B542" s="1"/>
      <c r="C542" s="1"/>
      <c r="D542" s="1"/>
      <c r="E542" s="1"/>
      <c r="F542" s="1"/>
      <c r="G542" s="1"/>
      <c r="H542" s="1"/>
      <c r="I542" s="1"/>
    </row>
    <row r="543" spans="2:9" x14ac:dyDescent="0.25">
      <c r="B543" s="1"/>
      <c r="C543" s="1"/>
      <c r="D543" s="1"/>
      <c r="E543" s="1"/>
      <c r="F543" s="1"/>
      <c r="G543" s="1"/>
      <c r="H543" s="1"/>
      <c r="I543" s="1"/>
    </row>
    <row r="544" spans="2:9" x14ac:dyDescent="0.25">
      <c r="B544" s="1"/>
      <c r="C544" s="1"/>
      <c r="D544" s="1"/>
      <c r="E544" s="1"/>
      <c r="F544" s="1"/>
      <c r="G544" s="1"/>
      <c r="H544" s="1"/>
      <c r="I544" s="1"/>
    </row>
    <row r="545" spans="2:9" x14ac:dyDescent="0.25">
      <c r="B545" s="1"/>
      <c r="C545" s="1"/>
      <c r="D545" s="1"/>
      <c r="E545" s="1"/>
      <c r="F545" s="1"/>
      <c r="G545" s="1"/>
      <c r="H545" s="1"/>
      <c r="I545" s="1"/>
    </row>
    <row r="546" spans="2:9" x14ac:dyDescent="0.25">
      <c r="B546" s="1"/>
      <c r="C546" s="1"/>
      <c r="D546" s="1"/>
      <c r="E546" s="1"/>
      <c r="F546" s="1"/>
      <c r="G546" s="1"/>
      <c r="H546" s="1"/>
      <c r="I546" s="1"/>
    </row>
    <row r="547" spans="2:9" x14ac:dyDescent="0.25">
      <c r="B547" s="1"/>
      <c r="C547" s="1"/>
      <c r="D547" s="1"/>
      <c r="E547" s="1"/>
      <c r="F547" s="1"/>
      <c r="G547" s="1"/>
      <c r="H547" s="1"/>
      <c r="I547" s="1"/>
    </row>
    <row r="548" spans="2:9" x14ac:dyDescent="0.25">
      <c r="B548" s="1"/>
      <c r="C548" s="1"/>
      <c r="D548" s="1"/>
      <c r="E548" s="1"/>
      <c r="F548" s="1"/>
      <c r="G548" s="1"/>
      <c r="H548" s="1"/>
      <c r="I548" s="1"/>
    </row>
    <row r="549" spans="2:9" x14ac:dyDescent="0.25">
      <c r="B549" s="1"/>
      <c r="C549" s="1"/>
      <c r="D549" s="1"/>
      <c r="E549" s="1"/>
      <c r="F549" s="1"/>
      <c r="G549" s="1"/>
      <c r="H549" s="1"/>
      <c r="I549" s="1"/>
    </row>
    <row r="550" spans="2:9" x14ac:dyDescent="0.25">
      <c r="B550" s="1"/>
      <c r="C550" s="1"/>
      <c r="D550" s="1"/>
      <c r="E550" s="1"/>
      <c r="F550" s="1"/>
      <c r="G550" s="1"/>
      <c r="H550" s="1"/>
      <c r="I550" s="1"/>
    </row>
    <row r="551" spans="2:9" x14ac:dyDescent="0.25">
      <c r="B551" s="1"/>
      <c r="C551" s="1"/>
      <c r="D551" s="1"/>
      <c r="E551" s="1"/>
      <c r="F551" s="1"/>
      <c r="G551" s="1"/>
      <c r="H551" s="1"/>
      <c r="I551" s="1"/>
    </row>
    <row r="552" spans="2:9" x14ac:dyDescent="0.25">
      <c r="B552" s="1"/>
      <c r="C552" s="1"/>
      <c r="D552" s="1"/>
      <c r="E552" s="1"/>
      <c r="F552" s="1"/>
      <c r="G552" s="1"/>
      <c r="H552" s="1"/>
      <c r="I552" s="1"/>
    </row>
    <row r="553" spans="2:9" x14ac:dyDescent="0.25">
      <c r="B553" s="1"/>
      <c r="C553" s="1"/>
      <c r="D553" s="1"/>
      <c r="E553" s="1"/>
      <c r="F553" s="1"/>
      <c r="G553" s="1"/>
      <c r="H553" s="1"/>
      <c r="I553" s="1"/>
    </row>
    <row r="554" spans="2:9" x14ac:dyDescent="0.25">
      <c r="B554" s="1"/>
      <c r="C554" s="1"/>
      <c r="D554" s="1"/>
      <c r="E554" s="1"/>
      <c r="F554" s="1"/>
      <c r="G554" s="1"/>
      <c r="H554" s="1"/>
      <c r="I554" s="1"/>
    </row>
    <row r="555" spans="2:9" x14ac:dyDescent="0.25">
      <c r="B555" s="1"/>
      <c r="C555" s="1"/>
      <c r="D555" s="1"/>
      <c r="E555" s="1"/>
      <c r="F555" s="1"/>
      <c r="G555" s="1"/>
      <c r="H555" s="1"/>
      <c r="I555" s="1"/>
    </row>
    <row r="556" spans="2:9" x14ac:dyDescent="0.25">
      <c r="B556" s="1"/>
      <c r="C556" s="1"/>
      <c r="D556" s="1"/>
      <c r="E556" s="1"/>
      <c r="F556" s="1"/>
      <c r="G556" s="1"/>
      <c r="H556" s="1"/>
      <c r="I556" s="1"/>
    </row>
    <row r="557" spans="2:9" x14ac:dyDescent="0.25">
      <c r="B557" s="1"/>
      <c r="C557" s="1"/>
      <c r="D557" s="1"/>
      <c r="E557" s="1"/>
      <c r="F557" s="1"/>
      <c r="G557" s="1"/>
      <c r="H557" s="1"/>
      <c r="I557" s="1"/>
    </row>
    <row r="558" spans="2:9" x14ac:dyDescent="0.25">
      <c r="B558" s="1"/>
      <c r="C558" s="1"/>
      <c r="D558" s="1"/>
      <c r="E558" s="1"/>
      <c r="F558" s="1"/>
      <c r="G558" s="1"/>
      <c r="H558" s="1"/>
      <c r="I558" s="1"/>
    </row>
    <row r="559" spans="2:9" x14ac:dyDescent="0.25">
      <c r="B559" s="1"/>
      <c r="C559" s="1"/>
      <c r="D559" s="1"/>
      <c r="E559" s="1"/>
      <c r="F559" s="1"/>
      <c r="G559" s="1"/>
      <c r="H559" s="1"/>
      <c r="I559" s="1"/>
    </row>
    <row r="560" spans="2:9" x14ac:dyDescent="0.25">
      <c r="B560" s="1"/>
      <c r="C560" s="1"/>
      <c r="D560" s="1"/>
      <c r="E560" s="1"/>
      <c r="F560" s="1"/>
      <c r="G560" s="1"/>
      <c r="H560" s="1"/>
      <c r="I560" s="1"/>
    </row>
    <row r="561" spans="2:9" x14ac:dyDescent="0.25">
      <c r="B561" s="1"/>
      <c r="C561" s="1"/>
      <c r="D561" s="1"/>
      <c r="E561" s="1"/>
      <c r="F561" s="1"/>
      <c r="G561" s="1"/>
      <c r="H561" s="1"/>
      <c r="I561" s="1"/>
    </row>
    <row r="562" spans="2:9" x14ac:dyDescent="0.25">
      <c r="B562" s="1"/>
      <c r="C562" s="1"/>
      <c r="D562" s="1"/>
      <c r="E562" s="1"/>
      <c r="F562" s="1"/>
      <c r="G562" s="1"/>
      <c r="H562" s="1"/>
      <c r="I562" s="1"/>
    </row>
    <row r="563" spans="2:9" x14ac:dyDescent="0.25">
      <c r="B563" s="1"/>
      <c r="C563" s="1"/>
      <c r="D563" s="1"/>
      <c r="E563" s="1"/>
      <c r="F563" s="1"/>
      <c r="G563" s="1"/>
      <c r="H563" s="1"/>
      <c r="I563" s="1"/>
    </row>
    <row r="564" spans="2:9" x14ac:dyDescent="0.25">
      <c r="B564" s="1"/>
      <c r="C564" s="1"/>
      <c r="D564" s="1"/>
      <c r="E564" s="1"/>
      <c r="F564" s="1"/>
      <c r="G564" s="1"/>
      <c r="H564" s="1"/>
      <c r="I564" s="1"/>
    </row>
    <row r="565" spans="2:9" x14ac:dyDescent="0.25">
      <c r="B565" s="1"/>
      <c r="C565" s="1"/>
      <c r="D565" s="1"/>
      <c r="E565" s="1"/>
      <c r="F565" s="1"/>
      <c r="G565" s="1"/>
      <c r="H565" s="1"/>
      <c r="I565" s="1"/>
    </row>
    <row r="566" spans="2:9" x14ac:dyDescent="0.25">
      <c r="B566" s="1"/>
      <c r="C566" s="1"/>
      <c r="D566" s="1"/>
      <c r="E566" s="1"/>
      <c r="F566" s="1"/>
      <c r="G566" s="1"/>
      <c r="H566" s="1"/>
      <c r="I566" s="1"/>
    </row>
    <row r="567" spans="2:9" x14ac:dyDescent="0.25">
      <c r="B567" s="1"/>
      <c r="C567" s="1"/>
      <c r="D567" s="1"/>
      <c r="E567" s="1"/>
      <c r="F567" s="1"/>
      <c r="G567" s="1"/>
      <c r="H567" s="1"/>
      <c r="I567" s="1"/>
    </row>
    <row r="568" spans="2:9" x14ac:dyDescent="0.25">
      <c r="B568" s="1"/>
      <c r="C568" s="1"/>
      <c r="D568" s="1"/>
      <c r="E568" s="1"/>
      <c r="F568" s="1"/>
      <c r="G568" s="1"/>
      <c r="H568" s="1"/>
      <c r="I568" s="1"/>
    </row>
    <row r="569" spans="2:9" x14ac:dyDescent="0.25">
      <c r="B569" s="1"/>
      <c r="C569" s="1"/>
      <c r="D569" s="1"/>
      <c r="E569" s="1"/>
      <c r="F569" s="1"/>
      <c r="G569" s="1"/>
      <c r="H569" s="1"/>
      <c r="I569" s="1"/>
    </row>
    <row r="570" spans="2:9" x14ac:dyDescent="0.25">
      <c r="B570" s="1"/>
      <c r="C570" s="1"/>
      <c r="D570" s="1"/>
      <c r="E570" s="1"/>
      <c r="F570" s="1"/>
      <c r="G570" s="1"/>
      <c r="H570" s="1"/>
      <c r="I570" s="1"/>
    </row>
    <row r="571" spans="2:9" x14ac:dyDescent="0.25">
      <c r="B571" s="1"/>
      <c r="C571" s="1"/>
      <c r="D571" s="1"/>
      <c r="E571" s="1"/>
      <c r="F571" s="1"/>
      <c r="G571" s="1"/>
      <c r="H571" s="1"/>
      <c r="I571" s="1"/>
    </row>
    <row r="572" spans="2:9" x14ac:dyDescent="0.25">
      <c r="B572" s="1"/>
      <c r="C572" s="1"/>
      <c r="D572" s="1"/>
      <c r="E572" s="1"/>
      <c r="F572" s="1"/>
      <c r="G572" s="1"/>
      <c r="H572" s="1"/>
      <c r="I572" s="1"/>
    </row>
    <row r="573" spans="2:9" x14ac:dyDescent="0.25">
      <c r="B573" s="1"/>
      <c r="C573" s="1"/>
      <c r="D573" s="1"/>
      <c r="E573" s="1"/>
      <c r="F573" s="1"/>
      <c r="G573" s="1"/>
      <c r="H573" s="1"/>
      <c r="I573" s="1"/>
    </row>
    <row r="574" spans="2:9" x14ac:dyDescent="0.25">
      <c r="B574" s="1"/>
      <c r="C574" s="1"/>
      <c r="D574" s="1"/>
      <c r="E574" s="1"/>
      <c r="F574" s="1"/>
      <c r="G574" s="1"/>
      <c r="H574" s="1"/>
      <c r="I574" s="1"/>
    </row>
    <row r="575" spans="2:9" x14ac:dyDescent="0.25">
      <c r="B575" s="1"/>
      <c r="C575" s="1"/>
      <c r="D575" s="1"/>
      <c r="E575" s="1"/>
      <c r="F575" s="1"/>
      <c r="G575" s="1"/>
      <c r="H575" s="1"/>
      <c r="I575" s="1"/>
    </row>
    <row r="576" spans="2:9" x14ac:dyDescent="0.25">
      <c r="B576" s="1"/>
      <c r="C576" s="1"/>
      <c r="D576" s="1"/>
      <c r="E576" s="1"/>
      <c r="F576" s="1"/>
      <c r="G576" s="1"/>
      <c r="H576" s="1"/>
      <c r="I576" s="1"/>
    </row>
    <row r="577" spans="2:9" x14ac:dyDescent="0.25">
      <c r="B577" s="1"/>
      <c r="C577" s="1"/>
      <c r="D577" s="1"/>
      <c r="E577" s="1"/>
      <c r="F577" s="1"/>
      <c r="G577" s="1"/>
      <c r="H577" s="1"/>
      <c r="I577" s="1"/>
    </row>
    <row r="578" spans="2:9" x14ac:dyDescent="0.25">
      <c r="B578" s="1"/>
      <c r="C578" s="1"/>
      <c r="D578" s="1"/>
      <c r="E578" s="1"/>
      <c r="F578" s="1"/>
      <c r="G578" s="1"/>
      <c r="H578" s="1"/>
      <c r="I578" s="1"/>
    </row>
    <row r="579" spans="2:9" x14ac:dyDescent="0.25">
      <c r="B579" s="1"/>
      <c r="C579" s="1"/>
      <c r="D579" s="1"/>
      <c r="E579" s="1"/>
      <c r="F579" s="1"/>
      <c r="G579" s="1"/>
      <c r="H579" s="1"/>
      <c r="I579" s="1"/>
    </row>
    <row r="580" spans="2:9" x14ac:dyDescent="0.25">
      <c r="B580" s="1"/>
      <c r="C580" s="1"/>
      <c r="D580" s="1"/>
      <c r="E580" s="1"/>
      <c r="F580" s="1"/>
      <c r="G580" s="1"/>
      <c r="H580" s="1"/>
      <c r="I580" s="1"/>
    </row>
    <row r="581" spans="2:9" x14ac:dyDescent="0.25">
      <c r="B581" s="1"/>
      <c r="C581" s="1"/>
      <c r="D581" s="1"/>
      <c r="E581" s="1"/>
      <c r="F581" s="1"/>
      <c r="G581" s="1"/>
      <c r="H581" s="1"/>
      <c r="I581" s="1"/>
    </row>
    <row r="582" spans="2:9" x14ac:dyDescent="0.25">
      <c r="B582" s="1"/>
      <c r="C582" s="1"/>
      <c r="D582" s="1"/>
      <c r="E582" s="1"/>
      <c r="F582" s="1"/>
      <c r="G582" s="1"/>
      <c r="H582" s="1"/>
      <c r="I582" s="1"/>
    </row>
    <row r="583" spans="2:9" x14ac:dyDescent="0.25">
      <c r="B583" s="1"/>
      <c r="C583" s="1"/>
      <c r="D583" s="1"/>
      <c r="E583" s="1"/>
      <c r="F583" s="1"/>
      <c r="G583" s="1"/>
      <c r="H583" s="1"/>
      <c r="I583" s="1"/>
    </row>
    <row r="584" spans="2:9" x14ac:dyDescent="0.25">
      <c r="B584" s="1"/>
      <c r="C584" s="1"/>
      <c r="D584" s="1"/>
      <c r="E584" s="1"/>
      <c r="F584" s="1"/>
      <c r="G584" s="1"/>
      <c r="H584" s="1"/>
      <c r="I584" s="1"/>
    </row>
    <row r="585" spans="2:9" x14ac:dyDescent="0.25">
      <c r="B585" s="1"/>
      <c r="C585" s="1"/>
      <c r="D585" s="1"/>
      <c r="E585" s="1"/>
      <c r="F585" s="1"/>
      <c r="G585" s="1"/>
      <c r="H585" s="1"/>
      <c r="I585" s="1"/>
    </row>
    <row r="586" spans="2:9" x14ac:dyDescent="0.25">
      <c r="B586" s="1"/>
      <c r="C586" s="1"/>
      <c r="D586" s="1"/>
      <c r="E586" s="1"/>
      <c r="F586" s="1"/>
      <c r="G586" s="1"/>
      <c r="H586" s="1"/>
      <c r="I586" s="1"/>
    </row>
    <row r="587" spans="2:9" x14ac:dyDescent="0.25">
      <c r="B587" s="1"/>
      <c r="C587" s="1"/>
      <c r="D587" s="1"/>
      <c r="E587" s="1"/>
      <c r="F587" s="1"/>
      <c r="G587" s="1"/>
      <c r="H587" s="1"/>
      <c r="I587" s="1"/>
    </row>
    <row r="588" spans="2:9" x14ac:dyDescent="0.25">
      <c r="B588" s="1"/>
      <c r="C588" s="1"/>
      <c r="D588" s="1"/>
      <c r="E588" s="1"/>
      <c r="F588" s="1"/>
      <c r="G588" s="1"/>
      <c r="H588" s="1"/>
      <c r="I588" s="1"/>
    </row>
    <row r="589" spans="2:9" x14ac:dyDescent="0.25">
      <c r="B589" s="1"/>
      <c r="C589" s="1"/>
      <c r="D589" s="1"/>
      <c r="E589" s="1"/>
      <c r="F589" s="1"/>
      <c r="G589" s="1"/>
      <c r="H589" s="1"/>
      <c r="I589" s="1"/>
    </row>
    <row r="590" spans="2:9" x14ac:dyDescent="0.25">
      <c r="B590" s="1"/>
      <c r="C590" s="1"/>
      <c r="D590" s="1"/>
      <c r="E590" s="1"/>
      <c r="F590" s="1"/>
      <c r="G590" s="1"/>
      <c r="H590" s="1"/>
      <c r="I590" s="1"/>
    </row>
    <row r="591" spans="2:9" x14ac:dyDescent="0.25">
      <c r="B591" s="1"/>
      <c r="C591" s="1"/>
      <c r="D591" s="1"/>
      <c r="E591" s="1"/>
      <c r="F591" s="1"/>
      <c r="G591" s="1"/>
      <c r="H591" s="1"/>
      <c r="I591" s="1"/>
    </row>
    <row r="592" spans="2:9" x14ac:dyDescent="0.25">
      <c r="B592" s="1"/>
      <c r="C592" s="1"/>
      <c r="D592" s="1"/>
      <c r="E592" s="1"/>
      <c r="F592" s="1"/>
      <c r="G592" s="1"/>
      <c r="H592" s="1"/>
      <c r="I592" s="1"/>
    </row>
    <row r="593" spans="2:9" x14ac:dyDescent="0.25">
      <c r="B593" s="1"/>
      <c r="C593" s="1"/>
      <c r="D593" s="1"/>
      <c r="E593" s="1"/>
      <c r="F593" s="1"/>
      <c r="G593" s="1"/>
      <c r="H593" s="1"/>
      <c r="I593" s="1"/>
    </row>
    <row r="594" spans="2:9" x14ac:dyDescent="0.25">
      <c r="B594" s="1"/>
      <c r="C594" s="1"/>
      <c r="D594" s="1"/>
      <c r="E594" s="1"/>
      <c r="F594" s="1"/>
      <c r="G594" s="1"/>
      <c r="H594" s="1"/>
      <c r="I594" s="1"/>
    </row>
    <row r="595" spans="2:9" x14ac:dyDescent="0.25">
      <c r="B595" s="1"/>
      <c r="C595" s="1"/>
      <c r="D595" s="1"/>
      <c r="E595" s="1"/>
      <c r="F595" s="1"/>
      <c r="G595" s="1"/>
      <c r="H595" s="1"/>
      <c r="I595" s="1"/>
    </row>
    <row r="596" spans="2:9" x14ac:dyDescent="0.25">
      <c r="B596" s="1"/>
      <c r="C596" s="1"/>
      <c r="D596" s="1"/>
      <c r="E596" s="1"/>
      <c r="F596" s="1"/>
      <c r="G596" s="1"/>
      <c r="H596" s="1"/>
      <c r="I596" s="1"/>
    </row>
    <row r="597" spans="2:9" x14ac:dyDescent="0.25">
      <c r="B597" s="1"/>
      <c r="C597" s="1"/>
      <c r="D597" s="1"/>
      <c r="E597" s="1"/>
      <c r="F597" s="1"/>
      <c r="G597" s="1"/>
      <c r="H597" s="1"/>
      <c r="I597" s="1"/>
    </row>
    <row r="598" spans="2:9" x14ac:dyDescent="0.25">
      <c r="B598" s="1"/>
      <c r="C598" s="1"/>
      <c r="D598" s="1"/>
      <c r="E598" s="1"/>
      <c r="F598" s="1"/>
      <c r="G598" s="1"/>
      <c r="H598" s="1"/>
      <c r="I598" s="1"/>
    </row>
    <row r="599" spans="2:9" x14ac:dyDescent="0.25">
      <c r="B599" s="1"/>
      <c r="C599" s="1"/>
      <c r="D599" s="1"/>
      <c r="E599" s="1"/>
      <c r="F599" s="1"/>
      <c r="G599" s="1"/>
      <c r="H599" s="1"/>
      <c r="I599" s="1"/>
    </row>
    <row r="600" spans="2:9" x14ac:dyDescent="0.25">
      <c r="B600" s="1"/>
      <c r="C600" s="1"/>
      <c r="D600" s="1"/>
      <c r="E600" s="1"/>
      <c r="F600" s="1"/>
      <c r="G600" s="1"/>
      <c r="H600" s="1"/>
      <c r="I600" s="1"/>
    </row>
    <row r="601" spans="2:9" x14ac:dyDescent="0.25">
      <c r="B601" s="1"/>
      <c r="C601" s="1"/>
      <c r="D601" s="1"/>
      <c r="E601" s="1"/>
      <c r="F601" s="1"/>
      <c r="G601" s="1"/>
      <c r="H601" s="1"/>
      <c r="I601" s="1"/>
    </row>
    <row r="602" spans="2:9" x14ac:dyDescent="0.25">
      <c r="B602" s="1"/>
      <c r="C602" s="1"/>
      <c r="D602" s="1"/>
      <c r="E602" s="1"/>
      <c r="F602" s="1"/>
      <c r="G602" s="1"/>
      <c r="H602" s="1"/>
      <c r="I602" s="1"/>
    </row>
    <row r="603" spans="2:9" x14ac:dyDescent="0.25">
      <c r="B603" s="1"/>
      <c r="C603" s="1"/>
      <c r="D603" s="1"/>
      <c r="E603" s="1"/>
      <c r="F603" s="1"/>
      <c r="G603" s="1"/>
      <c r="H603" s="1"/>
      <c r="I603" s="1"/>
    </row>
    <row r="604" spans="2:9" x14ac:dyDescent="0.25">
      <c r="B604" s="1"/>
      <c r="C604" s="1"/>
      <c r="D604" s="1"/>
      <c r="E604" s="1"/>
      <c r="F604" s="1"/>
      <c r="G604" s="1"/>
      <c r="H604" s="1"/>
      <c r="I604" s="1"/>
    </row>
    <row r="605" spans="2:9" x14ac:dyDescent="0.25">
      <c r="B605" s="1"/>
      <c r="C605" s="1"/>
      <c r="D605" s="1"/>
      <c r="E605" s="1"/>
      <c r="F605" s="1"/>
      <c r="G605" s="1"/>
      <c r="H605" s="1"/>
      <c r="I605" s="1"/>
    </row>
    <row r="606" spans="2:9" x14ac:dyDescent="0.25">
      <c r="B606" s="1"/>
      <c r="C606" s="1"/>
      <c r="D606" s="1"/>
      <c r="E606" s="1"/>
      <c r="F606" s="1"/>
      <c r="G606" s="1"/>
      <c r="H606" s="1"/>
      <c r="I606" s="1"/>
    </row>
    <row r="607" spans="2:9" x14ac:dyDescent="0.25">
      <c r="B607" s="1"/>
      <c r="C607" s="1"/>
      <c r="D607" s="1"/>
      <c r="E607" s="1"/>
      <c r="F607" s="1"/>
      <c r="G607" s="1"/>
      <c r="H607" s="1"/>
      <c r="I607" s="1"/>
    </row>
    <row r="608" spans="2:9" x14ac:dyDescent="0.25">
      <c r="B608" s="1"/>
      <c r="C608" s="1"/>
      <c r="D608" s="1"/>
      <c r="E608" s="1"/>
      <c r="F608" s="1"/>
      <c r="G608" s="1"/>
      <c r="H608" s="1"/>
      <c r="I608" s="1"/>
    </row>
    <row r="609" spans="2:9" x14ac:dyDescent="0.25">
      <c r="B609" s="1"/>
      <c r="C609" s="1"/>
      <c r="D609" s="1"/>
      <c r="E609" s="1"/>
      <c r="F609" s="1"/>
      <c r="G609" s="1"/>
      <c r="H609" s="1"/>
      <c r="I609" s="1"/>
    </row>
    <row r="610" spans="2:9" x14ac:dyDescent="0.25">
      <c r="B610" s="1"/>
      <c r="C610" s="1"/>
      <c r="D610" s="1"/>
      <c r="E610" s="1"/>
      <c r="F610" s="1"/>
      <c r="G610" s="1"/>
      <c r="H610" s="1"/>
      <c r="I610" s="1"/>
    </row>
    <row r="611" spans="2:9" x14ac:dyDescent="0.25">
      <c r="B611" s="1"/>
      <c r="C611" s="1"/>
      <c r="D611" s="1"/>
      <c r="E611" s="1"/>
      <c r="F611" s="1"/>
      <c r="G611" s="1"/>
      <c r="H611" s="1"/>
      <c r="I611" s="1"/>
    </row>
    <row r="612" spans="2:9" x14ac:dyDescent="0.25">
      <c r="B612" s="1"/>
      <c r="C612" s="1"/>
      <c r="D612" s="1"/>
      <c r="E612" s="1"/>
      <c r="F612" s="1"/>
      <c r="G612" s="1"/>
      <c r="H612" s="1"/>
      <c r="I612" s="1"/>
    </row>
    <row r="613" spans="2:9" x14ac:dyDescent="0.25">
      <c r="B613" s="1"/>
      <c r="C613" s="1"/>
      <c r="D613" s="1"/>
      <c r="E613" s="1"/>
      <c r="F613" s="1"/>
      <c r="G613" s="1"/>
      <c r="H613" s="1"/>
      <c r="I613" s="1"/>
    </row>
    <row r="614" spans="2:9" x14ac:dyDescent="0.25">
      <c r="B614" s="1"/>
      <c r="C614" s="1"/>
      <c r="D614" s="1"/>
      <c r="E614" s="1"/>
      <c r="F614" s="1"/>
      <c r="G614" s="1"/>
      <c r="H614" s="1"/>
      <c r="I614" s="1"/>
    </row>
    <row r="615" spans="2:9" x14ac:dyDescent="0.25">
      <c r="B615" s="1"/>
      <c r="C615" s="1"/>
      <c r="D615" s="1"/>
      <c r="E615" s="1"/>
      <c r="F615" s="1"/>
      <c r="G615" s="1"/>
      <c r="H615" s="1"/>
      <c r="I615" s="1"/>
    </row>
    <row r="616" spans="2:9" x14ac:dyDescent="0.25">
      <c r="B616" s="1"/>
      <c r="C616" s="1"/>
      <c r="D616" s="1"/>
      <c r="E616" s="1"/>
      <c r="F616" s="1"/>
      <c r="G616" s="1"/>
      <c r="H616" s="1"/>
      <c r="I616" s="1"/>
    </row>
    <row r="617" spans="2:9" x14ac:dyDescent="0.25">
      <c r="B617" s="1"/>
      <c r="C617" s="1"/>
      <c r="D617" s="1"/>
      <c r="E617" s="1"/>
      <c r="F617" s="1"/>
      <c r="G617" s="1"/>
      <c r="H617" s="1"/>
      <c r="I617" s="1"/>
    </row>
    <row r="618" spans="2:9" x14ac:dyDescent="0.25">
      <c r="B618" s="1"/>
      <c r="C618" s="1"/>
      <c r="D618" s="1"/>
      <c r="E618" s="1"/>
      <c r="F618" s="1"/>
      <c r="G618" s="1"/>
      <c r="H618" s="1"/>
      <c r="I618" s="1"/>
    </row>
    <row r="619" spans="2:9" x14ac:dyDescent="0.25">
      <c r="B619" s="1"/>
      <c r="C619" s="1"/>
      <c r="D619" s="1"/>
      <c r="E619" s="1"/>
      <c r="F619" s="1"/>
      <c r="G619" s="1"/>
      <c r="H619" s="1"/>
      <c r="I619" s="1"/>
    </row>
    <row r="620" spans="2:9" x14ac:dyDescent="0.25">
      <c r="B620" s="1"/>
      <c r="C620" s="1"/>
      <c r="D620" s="1"/>
      <c r="E620" s="1"/>
      <c r="F620" s="1"/>
      <c r="G620" s="1"/>
      <c r="H620" s="1"/>
      <c r="I620" s="1"/>
    </row>
    <row r="621" spans="2:9" x14ac:dyDescent="0.25">
      <c r="B621" s="1"/>
      <c r="C621" s="1"/>
      <c r="D621" s="1"/>
      <c r="E621" s="1"/>
      <c r="F621" s="1"/>
      <c r="G621" s="1"/>
      <c r="H621" s="1"/>
      <c r="I621" s="1"/>
    </row>
    <row r="622" spans="2:9" x14ac:dyDescent="0.25">
      <c r="B622" s="1"/>
      <c r="C622" s="1"/>
      <c r="D622" s="1"/>
      <c r="E622" s="1"/>
      <c r="F622" s="1"/>
      <c r="G622" s="1"/>
      <c r="H622" s="1"/>
      <c r="I622" s="1"/>
    </row>
    <row r="623" spans="2:9" x14ac:dyDescent="0.25">
      <c r="B623" s="1"/>
      <c r="C623" s="1"/>
      <c r="D623" s="1"/>
      <c r="E623" s="1"/>
      <c r="F623" s="1"/>
      <c r="G623" s="1"/>
      <c r="H623" s="1"/>
      <c r="I623" s="1"/>
    </row>
    <row r="624" spans="2:9" x14ac:dyDescent="0.25">
      <c r="B624" s="1"/>
      <c r="C624" s="1"/>
      <c r="D624" s="1"/>
      <c r="E624" s="1"/>
      <c r="F624" s="1"/>
      <c r="G624" s="1"/>
      <c r="H624" s="1"/>
      <c r="I624" s="1"/>
    </row>
    <row r="625" spans="2:9" x14ac:dyDescent="0.25">
      <c r="B625" s="1"/>
      <c r="C625" s="1"/>
      <c r="D625" s="1"/>
      <c r="E625" s="1"/>
      <c r="F625" s="1"/>
      <c r="G625" s="1"/>
      <c r="H625" s="1"/>
      <c r="I625" s="1"/>
    </row>
    <row r="626" spans="2:9" x14ac:dyDescent="0.25">
      <c r="B626" s="1"/>
      <c r="C626" s="1"/>
      <c r="D626" s="1"/>
      <c r="E626" s="1"/>
      <c r="F626" s="1"/>
      <c r="G626" s="1"/>
      <c r="H626" s="1"/>
      <c r="I626" s="1"/>
    </row>
    <row r="627" spans="2:9" x14ac:dyDescent="0.25">
      <c r="B627" s="1"/>
      <c r="C627" s="1"/>
      <c r="D627" s="1"/>
      <c r="E627" s="1"/>
      <c r="F627" s="1"/>
      <c r="G627" s="1"/>
      <c r="H627" s="1"/>
      <c r="I627" s="1"/>
    </row>
    <row r="628" spans="2:9" x14ac:dyDescent="0.25">
      <c r="B628" s="1"/>
      <c r="C628" s="1"/>
      <c r="D628" s="1"/>
      <c r="E628" s="1"/>
      <c r="F628" s="1"/>
      <c r="G628" s="1"/>
      <c r="H628" s="1"/>
      <c r="I628" s="1"/>
    </row>
    <row r="629" spans="2:9" x14ac:dyDescent="0.25">
      <c r="B629" s="1"/>
      <c r="C629" s="1"/>
      <c r="D629" s="1"/>
      <c r="E629" s="1"/>
      <c r="F629" s="1"/>
      <c r="G629" s="1"/>
      <c r="H629" s="1"/>
      <c r="I629" s="1"/>
    </row>
    <row r="630" spans="2:9" x14ac:dyDescent="0.25">
      <c r="B630" s="1"/>
      <c r="C630" s="1"/>
      <c r="D630" s="1"/>
      <c r="E630" s="1"/>
      <c r="F630" s="1"/>
      <c r="G630" s="1"/>
      <c r="H630" s="1"/>
      <c r="I630" s="1"/>
    </row>
    <row r="631" spans="2:9" x14ac:dyDescent="0.25">
      <c r="B631" s="1"/>
      <c r="C631" s="1"/>
      <c r="D631" s="1"/>
      <c r="E631" s="1"/>
      <c r="F631" s="1"/>
      <c r="G631" s="1"/>
      <c r="H631" s="1"/>
      <c r="I631" s="1"/>
    </row>
    <row r="632" spans="2:9" x14ac:dyDescent="0.25">
      <c r="B632" s="1"/>
      <c r="C632" s="1"/>
      <c r="D632" s="1"/>
      <c r="E632" s="1"/>
      <c r="F632" s="1"/>
      <c r="G632" s="1"/>
      <c r="H632" s="1"/>
      <c r="I632" s="1"/>
    </row>
    <row r="633" spans="2:9" x14ac:dyDescent="0.25">
      <c r="B633" s="1"/>
      <c r="C633" s="1"/>
      <c r="D633" s="1"/>
      <c r="E633" s="1"/>
      <c r="F633" s="1"/>
      <c r="G633" s="1"/>
      <c r="H633" s="1"/>
      <c r="I633" s="1"/>
    </row>
    <row r="634" spans="2:9" x14ac:dyDescent="0.25">
      <c r="B634" s="1"/>
      <c r="C634" s="1"/>
      <c r="D634" s="1"/>
      <c r="E634" s="1"/>
      <c r="F634" s="1"/>
      <c r="G634" s="1"/>
      <c r="H634" s="1"/>
      <c r="I634" s="1"/>
    </row>
    <row r="635" spans="2:9" x14ac:dyDescent="0.25">
      <c r="B635" s="1"/>
      <c r="C635" s="1"/>
      <c r="D635" s="1"/>
      <c r="E635" s="1"/>
      <c r="F635" s="1"/>
      <c r="G635" s="1"/>
      <c r="H635" s="1"/>
      <c r="I635" s="1"/>
    </row>
    <row r="636" spans="2:9" x14ac:dyDescent="0.25">
      <c r="B636" s="1"/>
      <c r="C636" s="1"/>
      <c r="D636" s="1"/>
      <c r="E636" s="1"/>
      <c r="F636" s="1"/>
      <c r="G636" s="1"/>
      <c r="H636" s="1"/>
      <c r="I636" s="1"/>
    </row>
    <row r="637" spans="2:9" x14ac:dyDescent="0.25">
      <c r="B637" s="1"/>
      <c r="C637" s="1"/>
      <c r="D637" s="1"/>
      <c r="E637" s="1"/>
      <c r="F637" s="1"/>
      <c r="G637" s="1"/>
      <c r="H637" s="1"/>
      <c r="I637" s="1"/>
    </row>
    <row r="638" spans="2:9" x14ac:dyDescent="0.25">
      <c r="B638" s="1"/>
      <c r="C638" s="1"/>
      <c r="D638" s="1"/>
      <c r="E638" s="1"/>
      <c r="F638" s="1"/>
      <c r="G638" s="1"/>
      <c r="H638" s="1"/>
      <c r="I638" s="1"/>
    </row>
    <row r="639" spans="2:9" x14ac:dyDescent="0.25">
      <c r="B639" s="1"/>
      <c r="C639" s="1"/>
      <c r="D639" s="1"/>
      <c r="E639" s="1"/>
      <c r="F639" s="1"/>
      <c r="G639" s="1"/>
      <c r="H639" s="1"/>
      <c r="I639" s="1"/>
    </row>
    <row r="640" spans="2:9" x14ac:dyDescent="0.25">
      <c r="B640" s="1"/>
      <c r="C640" s="1"/>
      <c r="D640" s="1"/>
      <c r="E640" s="1"/>
      <c r="F640" s="1"/>
      <c r="G640" s="1"/>
      <c r="H640" s="1"/>
      <c r="I640" s="1"/>
    </row>
    <row r="641" spans="2:9" x14ac:dyDescent="0.25">
      <c r="B641" s="1"/>
      <c r="C641" s="1"/>
      <c r="D641" s="1"/>
      <c r="E641" s="1"/>
      <c r="F641" s="1"/>
      <c r="G641" s="1"/>
      <c r="H641" s="1"/>
      <c r="I641" s="1"/>
    </row>
    <row r="642" spans="2:9" x14ac:dyDescent="0.25">
      <c r="B642" s="1"/>
      <c r="C642" s="1"/>
      <c r="D642" s="1"/>
      <c r="E642" s="1"/>
      <c r="F642" s="1"/>
      <c r="G642" s="1"/>
      <c r="H642" s="1"/>
      <c r="I642" s="1"/>
    </row>
    <row r="643" spans="2:9" x14ac:dyDescent="0.25">
      <c r="B643" s="1"/>
      <c r="C643" s="1"/>
      <c r="D643" s="1"/>
      <c r="E643" s="1"/>
      <c r="F643" s="1"/>
      <c r="G643" s="1"/>
      <c r="H643" s="1"/>
      <c r="I643" s="1"/>
    </row>
    <row r="644" spans="2:9" x14ac:dyDescent="0.25">
      <c r="B644" s="1"/>
      <c r="C644" s="1"/>
      <c r="D644" s="1"/>
      <c r="E644" s="1"/>
      <c r="F644" s="1"/>
      <c r="G644" s="1"/>
      <c r="H644" s="1"/>
      <c r="I644" s="1"/>
    </row>
    <row r="645" spans="2:9" x14ac:dyDescent="0.25">
      <c r="B645" s="1"/>
      <c r="C645" s="1"/>
      <c r="D645" s="1"/>
      <c r="E645" s="1"/>
      <c r="F645" s="1"/>
      <c r="G645" s="1"/>
      <c r="H645" s="1"/>
      <c r="I645" s="1"/>
    </row>
    <row r="646" spans="2:9" x14ac:dyDescent="0.25">
      <c r="B646" s="1"/>
      <c r="C646" s="1"/>
      <c r="D646" s="1"/>
      <c r="E646" s="1"/>
      <c r="F646" s="1"/>
      <c r="G646" s="1"/>
      <c r="H646" s="1"/>
      <c r="I646" s="1"/>
    </row>
    <row r="647" spans="2:9" x14ac:dyDescent="0.25">
      <c r="B647" s="1"/>
      <c r="C647" s="1"/>
      <c r="D647" s="1"/>
      <c r="E647" s="1"/>
      <c r="F647" s="1"/>
      <c r="G647" s="1"/>
      <c r="H647" s="1"/>
      <c r="I647" s="1"/>
    </row>
    <row r="648" spans="2:9" x14ac:dyDescent="0.25">
      <c r="B648" s="1"/>
      <c r="C648" s="1"/>
      <c r="D648" s="1"/>
      <c r="E648" s="1"/>
      <c r="F648" s="1"/>
      <c r="G648" s="1"/>
      <c r="H648" s="1"/>
      <c r="I648" s="1"/>
    </row>
    <row r="649" spans="2:9" x14ac:dyDescent="0.25">
      <c r="B649" s="1"/>
      <c r="C649" s="1"/>
      <c r="D649" s="1"/>
      <c r="E649" s="1"/>
      <c r="F649" s="1"/>
      <c r="G649" s="1"/>
      <c r="H649" s="1"/>
      <c r="I649" s="1"/>
    </row>
    <row r="650" spans="2:9" x14ac:dyDescent="0.25">
      <c r="B650" s="1"/>
      <c r="C650" s="1"/>
      <c r="D650" s="1"/>
      <c r="E650" s="1"/>
      <c r="F650" s="1"/>
      <c r="G650" s="1"/>
      <c r="H650" s="1"/>
      <c r="I650" s="1"/>
    </row>
    <row r="651" spans="2:9" x14ac:dyDescent="0.25">
      <c r="B651" s="1"/>
      <c r="C651" s="1"/>
      <c r="D651" s="1"/>
      <c r="E651" s="1"/>
      <c r="F651" s="1"/>
      <c r="G651" s="1"/>
      <c r="H651" s="1"/>
      <c r="I651" s="1"/>
    </row>
    <row r="652" spans="2:9" x14ac:dyDescent="0.25">
      <c r="B652" s="1"/>
      <c r="C652" s="1"/>
      <c r="D652" s="1"/>
      <c r="E652" s="1"/>
      <c r="F652" s="1"/>
      <c r="G652" s="1"/>
      <c r="H652" s="1"/>
      <c r="I652" s="1"/>
    </row>
    <row r="653" spans="2:9" x14ac:dyDescent="0.25">
      <c r="B653" s="1"/>
      <c r="C653" s="1"/>
      <c r="D653" s="1"/>
      <c r="E653" s="1"/>
      <c r="F653" s="1"/>
      <c r="G653" s="1"/>
      <c r="H653" s="1"/>
      <c r="I653" s="1"/>
    </row>
    <row r="654" spans="2:9" x14ac:dyDescent="0.25">
      <c r="B654" s="1"/>
      <c r="C654" s="1"/>
      <c r="D654" s="1"/>
      <c r="E654" s="1"/>
      <c r="F654" s="1"/>
      <c r="G654" s="1"/>
      <c r="H654" s="1"/>
      <c r="I654" s="1"/>
    </row>
    <row r="655" spans="2:9" x14ac:dyDescent="0.25">
      <c r="B655" s="1"/>
      <c r="C655" s="1"/>
      <c r="D655" s="1"/>
      <c r="E655" s="1"/>
      <c r="F655" s="1"/>
      <c r="G655" s="1"/>
      <c r="H655" s="1"/>
      <c r="I655" s="1"/>
    </row>
    <row r="656" spans="2:9" x14ac:dyDescent="0.25">
      <c r="B656" s="1"/>
      <c r="C656" s="1"/>
      <c r="D656" s="1"/>
      <c r="E656" s="1"/>
      <c r="F656" s="1"/>
      <c r="G656" s="1"/>
      <c r="H656" s="1"/>
      <c r="I656" s="1"/>
    </row>
    <row r="657" spans="2:9" x14ac:dyDescent="0.25">
      <c r="B657" s="1"/>
      <c r="C657" s="1"/>
      <c r="D657" s="1"/>
      <c r="E657" s="1"/>
      <c r="F657" s="1"/>
      <c r="G657" s="1"/>
      <c r="H657" s="1"/>
      <c r="I657" s="1"/>
    </row>
    <row r="658" spans="2:9" x14ac:dyDescent="0.25">
      <c r="B658" s="1"/>
      <c r="C658" s="1"/>
      <c r="D658" s="1"/>
      <c r="E658" s="1"/>
      <c r="F658" s="1"/>
      <c r="G658" s="1"/>
      <c r="H658" s="1"/>
      <c r="I658" s="1"/>
    </row>
    <row r="659" spans="2:9" x14ac:dyDescent="0.25">
      <c r="B659" s="1"/>
      <c r="C659" s="1"/>
      <c r="D659" s="1"/>
      <c r="E659" s="1"/>
      <c r="F659" s="1"/>
      <c r="G659" s="1"/>
      <c r="H659" s="1"/>
      <c r="I659" s="1"/>
    </row>
    <row r="660" spans="2:9" x14ac:dyDescent="0.25">
      <c r="B660" s="1"/>
      <c r="C660" s="1"/>
      <c r="D660" s="1"/>
      <c r="E660" s="1"/>
      <c r="F660" s="1"/>
      <c r="G660" s="1"/>
      <c r="H660" s="1"/>
      <c r="I660" s="1"/>
    </row>
    <row r="661" spans="2:9" x14ac:dyDescent="0.25">
      <c r="B661" s="1"/>
      <c r="C661" s="1"/>
      <c r="D661" s="1"/>
      <c r="E661" s="1"/>
      <c r="F661" s="1"/>
      <c r="G661" s="1"/>
      <c r="H661" s="1"/>
      <c r="I661" s="1"/>
    </row>
    <row r="662" spans="2:9" x14ac:dyDescent="0.25">
      <c r="B662" s="1"/>
      <c r="C662" s="1"/>
      <c r="D662" s="1"/>
      <c r="E662" s="1"/>
      <c r="F662" s="1"/>
      <c r="G662" s="1"/>
      <c r="H662" s="1"/>
      <c r="I662" s="1"/>
    </row>
    <row r="663" spans="2:9" x14ac:dyDescent="0.25">
      <c r="B663" s="1"/>
      <c r="C663" s="1"/>
      <c r="D663" s="1"/>
      <c r="E663" s="1"/>
      <c r="F663" s="1"/>
      <c r="G663" s="1"/>
      <c r="H663" s="1"/>
      <c r="I663" s="1"/>
    </row>
    <row r="664" spans="2:9" x14ac:dyDescent="0.25">
      <c r="B664" s="1"/>
      <c r="C664" s="1"/>
      <c r="D664" s="1"/>
      <c r="E664" s="1"/>
      <c r="F664" s="1"/>
      <c r="G664" s="1"/>
      <c r="H664" s="1"/>
      <c r="I664" s="1"/>
    </row>
    <row r="665" spans="2:9" x14ac:dyDescent="0.25">
      <c r="B665" s="1"/>
      <c r="C665" s="1"/>
      <c r="D665" s="1"/>
      <c r="E665" s="1"/>
      <c r="F665" s="1"/>
      <c r="G665" s="1"/>
      <c r="H665" s="1"/>
      <c r="I665" s="1"/>
    </row>
    <row r="666" spans="2:9" x14ac:dyDescent="0.25">
      <c r="B666" s="1"/>
      <c r="C666" s="1"/>
      <c r="D666" s="1"/>
      <c r="E666" s="1"/>
      <c r="F666" s="1"/>
      <c r="G666" s="1"/>
      <c r="H666" s="1"/>
      <c r="I666" s="1"/>
    </row>
    <row r="667" spans="2:9" x14ac:dyDescent="0.25">
      <c r="B667" s="1"/>
      <c r="C667" s="1"/>
      <c r="D667" s="1"/>
      <c r="E667" s="1"/>
      <c r="F667" s="1"/>
      <c r="G667" s="1"/>
      <c r="H667" s="1"/>
      <c r="I667" s="1"/>
    </row>
    <row r="668" spans="2:9" x14ac:dyDescent="0.25">
      <c r="B668" s="1"/>
      <c r="C668" s="1"/>
      <c r="D668" s="1"/>
      <c r="E668" s="1"/>
      <c r="F668" s="1"/>
      <c r="G668" s="1"/>
      <c r="H668" s="1"/>
      <c r="I668" s="1"/>
    </row>
    <row r="669" spans="2:9" x14ac:dyDescent="0.25">
      <c r="B669" s="1"/>
      <c r="C669" s="1"/>
      <c r="D669" s="1"/>
      <c r="E669" s="1"/>
      <c r="F669" s="1"/>
      <c r="G669" s="1"/>
      <c r="H669" s="1"/>
      <c r="I669" s="1"/>
    </row>
    <row r="670" spans="2:9" x14ac:dyDescent="0.25">
      <c r="B670" s="1"/>
      <c r="C670" s="1"/>
      <c r="D670" s="1"/>
      <c r="E670" s="1"/>
      <c r="F670" s="1"/>
      <c r="G670" s="1"/>
      <c r="H670" s="1"/>
      <c r="I670" s="1"/>
    </row>
    <row r="671" spans="2:9" x14ac:dyDescent="0.25">
      <c r="B671" s="1"/>
      <c r="C671" s="1"/>
      <c r="D671" s="1"/>
      <c r="E671" s="1"/>
      <c r="F671" s="1"/>
      <c r="G671" s="1"/>
      <c r="H671" s="1"/>
      <c r="I671" s="1"/>
    </row>
    <row r="672" spans="2:9" x14ac:dyDescent="0.25">
      <c r="B672" s="1"/>
      <c r="C672" s="1"/>
      <c r="D672" s="1"/>
      <c r="E672" s="1"/>
      <c r="F672" s="1"/>
      <c r="G672" s="1"/>
      <c r="H672" s="1"/>
      <c r="I672" s="1"/>
    </row>
    <row r="673" spans="2:9" x14ac:dyDescent="0.25">
      <c r="B673" s="1"/>
      <c r="C673" s="1"/>
      <c r="D673" s="1"/>
      <c r="E673" s="1"/>
      <c r="F673" s="1"/>
      <c r="G673" s="1"/>
      <c r="H673" s="1"/>
      <c r="I673" s="1"/>
    </row>
    <row r="674" spans="2:9" x14ac:dyDescent="0.25">
      <c r="B674" s="1"/>
      <c r="C674" s="1"/>
      <c r="D674" s="1"/>
      <c r="E674" s="1"/>
      <c r="F674" s="1"/>
      <c r="G674" s="1"/>
      <c r="H674" s="1"/>
      <c r="I674" s="1"/>
    </row>
    <row r="675" spans="2:9" x14ac:dyDescent="0.25">
      <c r="B675" s="1"/>
      <c r="C675" s="1"/>
      <c r="D675" s="1"/>
      <c r="E675" s="1"/>
      <c r="F675" s="1"/>
      <c r="G675" s="1"/>
      <c r="H675" s="1"/>
      <c r="I675" s="1"/>
    </row>
    <row r="676" spans="2:9" x14ac:dyDescent="0.25">
      <c r="B676" s="1"/>
      <c r="C676" s="1"/>
      <c r="D676" s="1"/>
      <c r="E676" s="1"/>
      <c r="F676" s="1"/>
      <c r="G676" s="1"/>
      <c r="H676" s="1"/>
      <c r="I676" s="1"/>
    </row>
    <row r="677" spans="2:9" x14ac:dyDescent="0.25">
      <c r="B677" s="1"/>
      <c r="C677" s="1"/>
      <c r="D677" s="1"/>
      <c r="E677" s="1"/>
      <c r="F677" s="1"/>
      <c r="G677" s="1"/>
      <c r="H677" s="1"/>
      <c r="I677" s="1"/>
    </row>
    <row r="678" spans="2:9" x14ac:dyDescent="0.25">
      <c r="B678" s="1"/>
      <c r="C678" s="1"/>
      <c r="D678" s="1"/>
      <c r="E678" s="1"/>
      <c r="F678" s="1"/>
      <c r="G678" s="1"/>
      <c r="H678" s="1"/>
      <c r="I678" s="1"/>
    </row>
    <row r="679" spans="2:9" x14ac:dyDescent="0.25">
      <c r="B679" s="1"/>
      <c r="C679" s="1"/>
      <c r="D679" s="1"/>
      <c r="E679" s="1"/>
      <c r="F679" s="1"/>
      <c r="G679" s="1"/>
      <c r="H679" s="1"/>
      <c r="I679" s="1"/>
    </row>
    <row r="680" spans="2:9" x14ac:dyDescent="0.25">
      <c r="B680" s="1"/>
      <c r="C680" s="1"/>
      <c r="D680" s="1"/>
      <c r="E680" s="1"/>
      <c r="F680" s="1"/>
      <c r="G680" s="1"/>
      <c r="H680" s="1"/>
      <c r="I680" s="1"/>
    </row>
    <row r="681" spans="2:9" x14ac:dyDescent="0.25">
      <c r="B681" s="1"/>
      <c r="C681" s="1"/>
      <c r="D681" s="1"/>
      <c r="E681" s="1"/>
      <c r="F681" s="1"/>
      <c r="G681" s="1"/>
      <c r="H681" s="1"/>
      <c r="I681" s="1"/>
    </row>
    <row r="682" spans="2:9" x14ac:dyDescent="0.25">
      <c r="B682" s="1"/>
      <c r="C682" s="1"/>
      <c r="D682" s="1"/>
      <c r="E682" s="1"/>
      <c r="F682" s="1"/>
      <c r="G682" s="1"/>
      <c r="H682" s="1"/>
      <c r="I682" s="1"/>
    </row>
    <row r="683" spans="2:9" x14ac:dyDescent="0.25">
      <c r="B683" s="1"/>
      <c r="C683" s="1"/>
      <c r="D683" s="1"/>
      <c r="E683" s="1"/>
      <c r="F683" s="1"/>
      <c r="G683" s="1"/>
      <c r="H683" s="1"/>
      <c r="I683" s="1"/>
    </row>
    <row r="684" spans="2:9" x14ac:dyDescent="0.25">
      <c r="B684" s="1"/>
      <c r="C684" s="1"/>
      <c r="D684" s="1"/>
      <c r="E684" s="1"/>
      <c r="F684" s="1"/>
      <c r="G684" s="1"/>
      <c r="H684" s="1"/>
      <c r="I684" s="1"/>
    </row>
    <row r="685" spans="2:9" x14ac:dyDescent="0.25">
      <c r="B685" s="1"/>
      <c r="C685" s="1"/>
      <c r="D685" s="1"/>
      <c r="E685" s="1"/>
      <c r="F685" s="1"/>
      <c r="G685" s="1"/>
      <c r="H685" s="1"/>
      <c r="I685" s="1"/>
    </row>
    <row r="686" spans="2:9" x14ac:dyDescent="0.25">
      <c r="B686" s="1"/>
      <c r="C686" s="1"/>
      <c r="D686" s="1"/>
      <c r="E686" s="1"/>
      <c r="F686" s="1"/>
      <c r="G686" s="1"/>
      <c r="H686" s="1"/>
      <c r="I686" s="1"/>
    </row>
    <row r="687" spans="2:9" x14ac:dyDescent="0.25">
      <c r="B687" s="1"/>
      <c r="C687" s="1"/>
      <c r="D687" s="1"/>
      <c r="E687" s="1"/>
      <c r="F687" s="1"/>
      <c r="G687" s="1"/>
      <c r="H687" s="1"/>
      <c r="I687" s="1"/>
    </row>
    <row r="688" spans="2:9" x14ac:dyDescent="0.25">
      <c r="B688" s="1"/>
      <c r="C688" s="1"/>
      <c r="D688" s="1"/>
      <c r="E688" s="1"/>
      <c r="F688" s="1"/>
      <c r="G688" s="1"/>
      <c r="H688" s="1"/>
      <c r="I688" s="1"/>
    </row>
    <row r="689" spans="2:9" x14ac:dyDescent="0.25">
      <c r="B689" s="1"/>
      <c r="C689" s="1"/>
      <c r="D689" s="1"/>
      <c r="E689" s="1"/>
      <c r="F689" s="1"/>
      <c r="G689" s="1"/>
      <c r="H689" s="1"/>
      <c r="I689" s="1"/>
    </row>
    <row r="690" spans="2:9" x14ac:dyDescent="0.25">
      <c r="B690" s="1"/>
      <c r="C690" s="1"/>
      <c r="D690" s="1"/>
      <c r="E690" s="1"/>
      <c r="F690" s="1"/>
      <c r="G690" s="1"/>
      <c r="H690" s="1"/>
      <c r="I690" s="1"/>
    </row>
    <row r="691" spans="2:9" x14ac:dyDescent="0.25">
      <c r="B691" s="1"/>
      <c r="C691" s="1"/>
      <c r="D691" s="1"/>
      <c r="E691" s="1"/>
      <c r="F691" s="1"/>
      <c r="G691" s="1"/>
      <c r="H691" s="1"/>
      <c r="I691" s="1"/>
    </row>
    <row r="692" spans="2:9" x14ac:dyDescent="0.25">
      <c r="B692" s="1"/>
      <c r="C692" s="1"/>
      <c r="D692" s="1"/>
      <c r="E692" s="1"/>
      <c r="F692" s="1"/>
      <c r="G692" s="1"/>
      <c r="H692" s="1"/>
      <c r="I692" s="1"/>
    </row>
    <row r="693" spans="2:9" x14ac:dyDescent="0.25">
      <c r="B693" s="1"/>
      <c r="C693" s="1"/>
      <c r="D693" s="1"/>
      <c r="E693" s="1"/>
      <c r="F693" s="1"/>
      <c r="G693" s="1"/>
      <c r="H693" s="1"/>
      <c r="I693" s="1"/>
    </row>
    <row r="694" spans="2:9" x14ac:dyDescent="0.25">
      <c r="B694" s="1"/>
      <c r="C694" s="1"/>
      <c r="D694" s="1"/>
      <c r="E694" s="1"/>
      <c r="F694" s="1"/>
      <c r="G694" s="1"/>
      <c r="H694" s="1"/>
      <c r="I694" s="1"/>
    </row>
    <row r="695" spans="2:9" x14ac:dyDescent="0.25">
      <c r="B695" s="1"/>
      <c r="C695" s="1"/>
      <c r="D695" s="1"/>
      <c r="E695" s="1"/>
      <c r="F695" s="1"/>
      <c r="G695" s="1"/>
      <c r="H695" s="1"/>
      <c r="I695" s="1"/>
    </row>
    <row r="696" spans="2:9" x14ac:dyDescent="0.25">
      <c r="B696" s="1"/>
      <c r="C696" s="1"/>
      <c r="D696" s="1"/>
      <c r="E696" s="1"/>
      <c r="F696" s="1"/>
      <c r="G696" s="1"/>
      <c r="H696" s="1"/>
      <c r="I696" s="1"/>
    </row>
    <row r="697" spans="2:9" x14ac:dyDescent="0.25">
      <c r="B697" s="1"/>
      <c r="C697" s="1"/>
      <c r="D697" s="1"/>
      <c r="E697" s="1"/>
      <c r="F697" s="1"/>
      <c r="G697" s="1"/>
      <c r="H697" s="1"/>
      <c r="I697" s="1"/>
    </row>
    <row r="698" spans="2:9" x14ac:dyDescent="0.25">
      <c r="B698" s="1"/>
      <c r="C698" s="1"/>
      <c r="D698" s="1"/>
      <c r="E698" s="1"/>
      <c r="F698" s="1"/>
      <c r="G698" s="1"/>
      <c r="H698" s="1"/>
      <c r="I698" s="1"/>
    </row>
    <row r="699" spans="2:9" x14ac:dyDescent="0.25">
      <c r="B699" s="1"/>
      <c r="C699" s="1"/>
      <c r="D699" s="1"/>
      <c r="E699" s="1"/>
      <c r="F699" s="1"/>
      <c r="G699" s="1"/>
      <c r="H699" s="1"/>
      <c r="I699" s="1"/>
    </row>
    <row r="700" spans="2:9" x14ac:dyDescent="0.25">
      <c r="B700" s="1"/>
      <c r="C700" s="1"/>
      <c r="D700" s="1"/>
      <c r="E700" s="1"/>
      <c r="F700" s="1"/>
      <c r="G700" s="1"/>
      <c r="H700" s="1"/>
      <c r="I700" s="1"/>
    </row>
    <row r="701" spans="2:9" x14ac:dyDescent="0.25">
      <c r="B701" s="1"/>
      <c r="C701" s="1"/>
      <c r="D701" s="1"/>
      <c r="E701" s="1"/>
      <c r="F701" s="1"/>
      <c r="G701" s="1"/>
      <c r="H701" s="1"/>
      <c r="I701" s="1"/>
    </row>
    <row r="702" spans="2:9" x14ac:dyDescent="0.25">
      <c r="B702" s="1"/>
      <c r="C702" s="1"/>
      <c r="D702" s="1"/>
      <c r="E702" s="1"/>
      <c r="F702" s="1"/>
      <c r="G702" s="1"/>
      <c r="H702" s="1"/>
      <c r="I702" s="1"/>
    </row>
    <row r="703" spans="2:9" x14ac:dyDescent="0.25">
      <c r="B703" s="1"/>
      <c r="C703" s="1"/>
      <c r="D703" s="1"/>
      <c r="E703" s="1"/>
      <c r="F703" s="1"/>
      <c r="G703" s="1"/>
      <c r="H703" s="1"/>
      <c r="I703" s="1"/>
    </row>
    <row r="704" spans="2:9" x14ac:dyDescent="0.25">
      <c r="B704" s="1"/>
      <c r="C704" s="1"/>
      <c r="D704" s="1"/>
      <c r="E704" s="1"/>
      <c r="F704" s="1"/>
      <c r="G704" s="1"/>
      <c r="H704" s="1"/>
      <c r="I704" s="1"/>
    </row>
    <row r="705" spans="2:9" x14ac:dyDescent="0.25">
      <c r="B705" s="1"/>
      <c r="C705" s="1"/>
      <c r="D705" s="1"/>
      <c r="E705" s="1"/>
      <c r="F705" s="1"/>
      <c r="G705" s="1"/>
      <c r="H705" s="1"/>
      <c r="I705" s="1"/>
    </row>
    <row r="706" spans="2:9" x14ac:dyDescent="0.25">
      <c r="B706" s="1"/>
      <c r="C706" s="1"/>
      <c r="D706" s="1"/>
      <c r="E706" s="1"/>
      <c r="F706" s="1"/>
      <c r="G706" s="1"/>
      <c r="H706" s="1"/>
      <c r="I706" s="1"/>
    </row>
    <row r="707" spans="2:9" x14ac:dyDescent="0.25">
      <c r="B707" s="1"/>
      <c r="C707" s="1"/>
      <c r="D707" s="1"/>
      <c r="E707" s="1"/>
      <c r="F707" s="1"/>
      <c r="G707" s="1"/>
      <c r="H707" s="1"/>
      <c r="I707" s="1"/>
    </row>
    <row r="708" spans="2:9" x14ac:dyDescent="0.25">
      <c r="B708" s="1"/>
      <c r="C708" s="1"/>
      <c r="D708" s="1"/>
      <c r="E708" s="1"/>
      <c r="F708" s="1"/>
      <c r="G708" s="1"/>
      <c r="H708" s="1"/>
      <c r="I708" s="1"/>
    </row>
    <row r="709" spans="2:9" x14ac:dyDescent="0.25">
      <c r="B709" s="1"/>
      <c r="C709" s="1"/>
      <c r="D709" s="1"/>
      <c r="E709" s="1"/>
      <c r="F709" s="1"/>
      <c r="G709" s="1"/>
      <c r="H709" s="1"/>
      <c r="I709" s="1"/>
    </row>
    <row r="710" spans="2:9" x14ac:dyDescent="0.25">
      <c r="B710" s="1"/>
      <c r="C710" s="1"/>
      <c r="D710" s="1"/>
      <c r="E710" s="1"/>
      <c r="F710" s="1"/>
      <c r="G710" s="1"/>
      <c r="H710" s="1"/>
      <c r="I710" s="1"/>
    </row>
    <row r="711" spans="2:9" x14ac:dyDescent="0.25">
      <c r="B711" s="1"/>
      <c r="C711" s="1"/>
      <c r="D711" s="1"/>
      <c r="E711" s="1"/>
      <c r="F711" s="1"/>
      <c r="G711" s="1"/>
      <c r="H711" s="1"/>
      <c r="I711" s="1"/>
    </row>
    <row r="712" spans="2:9" x14ac:dyDescent="0.25">
      <c r="B712" s="1"/>
      <c r="C712" s="1"/>
      <c r="D712" s="1"/>
      <c r="E712" s="1"/>
      <c r="F712" s="1"/>
      <c r="G712" s="1"/>
      <c r="H712" s="1"/>
      <c r="I712" s="1"/>
    </row>
    <row r="713" spans="2:9" x14ac:dyDescent="0.25">
      <c r="B713" s="1"/>
      <c r="C713" s="1"/>
      <c r="D713" s="1"/>
      <c r="E713" s="1"/>
      <c r="F713" s="1"/>
      <c r="G713" s="1"/>
      <c r="H713" s="1"/>
      <c r="I713" s="1"/>
    </row>
    <row r="714" spans="2:9" x14ac:dyDescent="0.25">
      <c r="B714" s="1"/>
      <c r="C714" s="1"/>
      <c r="D714" s="1"/>
      <c r="E714" s="1"/>
      <c r="F714" s="1"/>
      <c r="G714" s="1"/>
      <c r="H714" s="1"/>
      <c r="I714" s="1"/>
    </row>
    <row r="715" spans="2:9" x14ac:dyDescent="0.25">
      <c r="B715" s="1"/>
      <c r="C715" s="1"/>
      <c r="D715" s="1"/>
      <c r="E715" s="1"/>
      <c r="F715" s="1"/>
      <c r="G715" s="1"/>
      <c r="H715" s="1"/>
      <c r="I715" s="1"/>
    </row>
    <row r="716" spans="2:9" x14ac:dyDescent="0.25">
      <c r="B716" s="1"/>
      <c r="C716" s="1"/>
      <c r="D716" s="1"/>
      <c r="E716" s="1"/>
      <c r="F716" s="1"/>
      <c r="G716" s="1"/>
      <c r="H716" s="1"/>
      <c r="I716" s="1"/>
    </row>
    <row r="717" spans="2:9" x14ac:dyDescent="0.25">
      <c r="B717" s="1"/>
      <c r="C717" s="1"/>
      <c r="D717" s="1"/>
      <c r="E717" s="1"/>
      <c r="F717" s="1"/>
      <c r="G717" s="1"/>
      <c r="H717" s="1"/>
      <c r="I717" s="1"/>
    </row>
    <row r="718" spans="2:9" x14ac:dyDescent="0.25">
      <c r="B718" s="1"/>
      <c r="C718" s="1"/>
      <c r="D718" s="1"/>
      <c r="E718" s="1"/>
      <c r="F718" s="1"/>
      <c r="G718" s="1"/>
      <c r="H718" s="1"/>
      <c r="I718" s="1"/>
    </row>
    <row r="719" spans="2:9" x14ac:dyDescent="0.25">
      <c r="B719" s="1"/>
      <c r="C719" s="1"/>
      <c r="D719" s="1"/>
      <c r="E719" s="1"/>
      <c r="F719" s="1"/>
      <c r="G719" s="1"/>
      <c r="H719" s="1"/>
      <c r="I719" s="1"/>
    </row>
    <row r="720" spans="2:9" x14ac:dyDescent="0.25">
      <c r="B720" s="1"/>
      <c r="C720" s="1"/>
      <c r="D720" s="1"/>
      <c r="E720" s="1"/>
      <c r="F720" s="1"/>
      <c r="G720" s="1"/>
      <c r="H720" s="1"/>
      <c r="I720" s="1"/>
    </row>
    <row r="721" spans="2:9" x14ac:dyDescent="0.25">
      <c r="B721" s="1"/>
      <c r="C721" s="1"/>
      <c r="D721" s="1"/>
      <c r="E721" s="1"/>
      <c r="F721" s="1"/>
      <c r="G721" s="1"/>
      <c r="H721" s="1"/>
      <c r="I721" s="1"/>
    </row>
    <row r="722" spans="2:9" x14ac:dyDescent="0.25">
      <c r="B722" s="1"/>
      <c r="C722" s="1"/>
      <c r="D722" s="1"/>
      <c r="E722" s="1"/>
      <c r="F722" s="1"/>
      <c r="G722" s="1"/>
      <c r="H722" s="1"/>
      <c r="I722" s="1"/>
    </row>
    <row r="723" spans="2:9" x14ac:dyDescent="0.25">
      <c r="B723" s="1"/>
      <c r="C723" s="1"/>
      <c r="D723" s="1"/>
      <c r="E723" s="1"/>
      <c r="F723" s="1"/>
      <c r="G723" s="1"/>
      <c r="H723" s="1"/>
      <c r="I723" s="1"/>
    </row>
    <row r="724" spans="2:9" x14ac:dyDescent="0.25">
      <c r="B724" s="1"/>
      <c r="C724" s="1"/>
      <c r="D724" s="1"/>
      <c r="E724" s="1"/>
      <c r="F724" s="1"/>
      <c r="G724" s="1"/>
      <c r="H724" s="1"/>
      <c r="I724" s="1"/>
    </row>
    <row r="725" spans="2:9" x14ac:dyDescent="0.25">
      <c r="B725" s="1"/>
      <c r="C725" s="1"/>
      <c r="D725" s="1"/>
      <c r="E725" s="1"/>
      <c r="F725" s="1"/>
      <c r="G725" s="1"/>
      <c r="H725" s="1"/>
      <c r="I725" s="1"/>
    </row>
    <row r="726" spans="2:9" x14ac:dyDescent="0.25">
      <c r="B726" s="1"/>
      <c r="C726" s="1"/>
      <c r="D726" s="1"/>
      <c r="E726" s="1"/>
      <c r="F726" s="1"/>
      <c r="G726" s="1"/>
      <c r="H726" s="1"/>
      <c r="I726" s="1"/>
    </row>
    <row r="727" spans="2:9" x14ac:dyDescent="0.25">
      <c r="B727" s="1"/>
      <c r="C727" s="1"/>
      <c r="D727" s="1"/>
      <c r="E727" s="1"/>
      <c r="F727" s="1"/>
      <c r="G727" s="1"/>
      <c r="H727" s="1"/>
      <c r="I727" s="1"/>
    </row>
    <row r="728" spans="2:9" x14ac:dyDescent="0.25">
      <c r="B728" s="1"/>
      <c r="C728" s="1"/>
      <c r="D728" s="1"/>
      <c r="E728" s="1"/>
      <c r="F728" s="1"/>
      <c r="G728" s="1"/>
      <c r="H728" s="1"/>
      <c r="I728" s="1"/>
    </row>
    <row r="729" spans="2:9" x14ac:dyDescent="0.25">
      <c r="B729" s="1"/>
      <c r="C729" s="1"/>
      <c r="D729" s="1"/>
      <c r="E729" s="1"/>
      <c r="F729" s="1"/>
      <c r="G729" s="1"/>
      <c r="H729" s="1"/>
      <c r="I729" s="1"/>
    </row>
    <row r="730" spans="2:9" x14ac:dyDescent="0.25">
      <c r="B730" s="1"/>
      <c r="C730" s="1"/>
      <c r="D730" s="1"/>
      <c r="E730" s="1"/>
      <c r="F730" s="1"/>
      <c r="G730" s="1"/>
      <c r="H730" s="1"/>
      <c r="I730" s="1"/>
    </row>
    <row r="731" spans="2:9" x14ac:dyDescent="0.25">
      <c r="B731" s="1"/>
      <c r="C731" s="1"/>
      <c r="D731" s="1"/>
      <c r="E731" s="1"/>
      <c r="F731" s="1"/>
      <c r="G731" s="1"/>
      <c r="H731" s="1"/>
      <c r="I731" s="1"/>
    </row>
    <row r="732" spans="2:9" x14ac:dyDescent="0.25">
      <c r="B732" s="1"/>
      <c r="C732" s="1"/>
      <c r="D732" s="1"/>
      <c r="E732" s="1"/>
      <c r="F732" s="1"/>
      <c r="G732" s="1"/>
      <c r="H732" s="1"/>
      <c r="I732" s="1"/>
    </row>
    <row r="733" spans="2:9" x14ac:dyDescent="0.25">
      <c r="B733" s="1"/>
      <c r="C733" s="1"/>
      <c r="D733" s="1"/>
      <c r="E733" s="1"/>
      <c r="F733" s="1"/>
      <c r="G733" s="1"/>
      <c r="H733" s="1"/>
      <c r="I733" s="1"/>
    </row>
    <row r="734" spans="2:9" x14ac:dyDescent="0.25">
      <c r="B734" s="1"/>
      <c r="C734" s="1"/>
      <c r="D734" s="1"/>
      <c r="E734" s="1"/>
      <c r="F734" s="1"/>
      <c r="G734" s="1"/>
      <c r="H734" s="1"/>
      <c r="I734" s="1"/>
    </row>
    <row r="735" spans="2:9" x14ac:dyDescent="0.25">
      <c r="B735" s="1"/>
      <c r="C735" s="1"/>
      <c r="D735" s="1"/>
      <c r="E735" s="1"/>
      <c r="F735" s="1"/>
      <c r="G735" s="1"/>
      <c r="H735" s="1"/>
      <c r="I735" s="1"/>
    </row>
    <row r="736" spans="2:9" x14ac:dyDescent="0.25">
      <c r="B736" s="1"/>
      <c r="C736" s="1"/>
      <c r="D736" s="1"/>
      <c r="E736" s="1"/>
      <c r="F736" s="1"/>
      <c r="G736" s="1"/>
      <c r="H736" s="1"/>
      <c r="I736" s="1"/>
    </row>
    <row r="737" spans="2:9" x14ac:dyDescent="0.25">
      <c r="B737" s="1"/>
      <c r="C737" s="1"/>
      <c r="D737" s="1"/>
      <c r="E737" s="1"/>
      <c r="F737" s="1"/>
      <c r="G737" s="1"/>
      <c r="H737" s="1"/>
      <c r="I737" s="1"/>
    </row>
    <row r="738" spans="2:9" x14ac:dyDescent="0.25">
      <c r="B738" s="1"/>
      <c r="C738" s="1"/>
      <c r="D738" s="1"/>
      <c r="E738" s="1"/>
      <c r="F738" s="1"/>
      <c r="G738" s="1"/>
      <c r="H738" s="1"/>
      <c r="I738" s="1"/>
    </row>
    <row r="739" spans="2:9" x14ac:dyDescent="0.25">
      <c r="B739" s="1"/>
      <c r="C739" s="1"/>
      <c r="D739" s="1"/>
      <c r="E739" s="1"/>
      <c r="F739" s="1"/>
      <c r="G739" s="1"/>
      <c r="H739" s="1"/>
      <c r="I739" s="1"/>
    </row>
    <row r="740" spans="2:9" x14ac:dyDescent="0.25">
      <c r="B740" s="1"/>
      <c r="C740" s="1"/>
      <c r="D740" s="1"/>
      <c r="E740" s="1"/>
      <c r="F740" s="1"/>
      <c r="G740" s="1"/>
      <c r="H740" s="1"/>
      <c r="I740" s="1"/>
    </row>
    <row r="741" spans="2:9" x14ac:dyDescent="0.25">
      <c r="B741" s="1"/>
      <c r="C741" s="1"/>
      <c r="D741" s="1"/>
      <c r="E741" s="1"/>
      <c r="F741" s="1"/>
      <c r="G741" s="1"/>
      <c r="H741" s="1"/>
      <c r="I741" s="1"/>
    </row>
    <row r="742" spans="2:9" x14ac:dyDescent="0.25">
      <c r="B742" s="1"/>
      <c r="C742" s="1"/>
      <c r="D742" s="1"/>
      <c r="E742" s="1"/>
      <c r="F742" s="1"/>
      <c r="G742" s="1"/>
      <c r="H742" s="1"/>
      <c r="I742" s="1"/>
    </row>
    <row r="743" spans="2:9" x14ac:dyDescent="0.25">
      <c r="B743" s="1"/>
      <c r="C743" s="1"/>
      <c r="D743" s="1"/>
      <c r="E743" s="1"/>
      <c r="F743" s="1"/>
      <c r="G743" s="1"/>
      <c r="H743" s="1"/>
      <c r="I743" s="1"/>
    </row>
    <row r="744" spans="2:9" x14ac:dyDescent="0.25">
      <c r="B744" s="1"/>
      <c r="C744" s="1"/>
      <c r="D744" s="1"/>
      <c r="E744" s="1"/>
      <c r="F744" s="1"/>
      <c r="G744" s="1"/>
      <c r="H744" s="1"/>
      <c r="I744" s="1"/>
    </row>
    <row r="745" spans="2:9" x14ac:dyDescent="0.25">
      <c r="B745" s="1"/>
      <c r="C745" s="1"/>
      <c r="D745" s="1"/>
      <c r="E745" s="1"/>
      <c r="F745" s="1"/>
      <c r="G745" s="1"/>
      <c r="H745" s="1"/>
      <c r="I745" s="1"/>
    </row>
    <row r="746" spans="2:9" x14ac:dyDescent="0.25">
      <c r="B746" s="1"/>
      <c r="C746" s="1"/>
      <c r="D746" s="1"/>
      <c r="E746" s="1"/>
      <c r="F746" s="1"/>
      <c r="G746" s="1"/>
      <c r="H746" s="1"/>
      <c r="I746" s="1"/>
    </row>
    <row r="747" spans="2:9" x14ac:dyDescent="0.25">
      <c r="B747" s="1"/>
      <c r="C747" s="1"/>
      <c r="D747" s="1"/>
      <c r="E747" s="1"/>
      <c r="F747" s="1"/>
      <c r="G747" s="1"/>
      <c r="H747" s="1"/>
      <c r="I747" s="1"/>
    </row>
    <row r="748" spans="2:9" x14ac:dyDescent="0.25">
      <c r="B748" s="1"/>
      <c r="C748" s="1"/>
      <c r="D748" s="1"/>
      <c r="E748" s="1"/>
      <c r="F748" s="1"/>
      <c r="G748" s="1"/>
      <c r="H748" s="1"/>
      <c r="I748" s="1"/>
    </row>
    <row r="749" spans="2:9" x14ac:dyDescent="0.25">
      <c r="B749" s="1"/>
      <c r="C749" s="1"/>
      <c r="D749" s="1"/>
      <c r="E749" s="1"/>
      <c r="F749" s="1"/>
      <c r="G749" s="1"/>
      <c r="H749" s="1"/>
      <c r="I749" s="1"/>
    </row>
    <row r="750" spans="2:9" x14ac:dyDescent="0.25">
      <c r="B750" s="1"/>
      <c r="C750" s="1"/>
      <c r="D750" s="1"/>
      <c r="E750" s="1"/>
      <c r="F750" s="1"/>
      <c r="G750" s="1"/>
      <c r="H750" s="1"/>
      <c r="I750" s="1"/>
    </row>
    <row r="751" spans="2:9" x14ac:dyDescent="0.25">
      <c r="B751" s="1"/>
      <c r="C751" s="1"/>
      <c r="D751" s="1"/>
      <c r="E751" s="1"/>
      <c r="F751" s="1"/>
      <c r="G751" s="1"/>
      <c r="H751" s="1"/>
      <c r="I751" s="1"/>
    </row>
    <row r="752" spans="2:9" x14ac:dyDescent="0.25">
      <c r="B752" s="1"/>
      <c r="C752" s="1"/>
      <c r="D752" s="1"/>
      <c r="E752" s="1"/>
      <c r="F752" s="1"/>
      <c r="G752" s="1"/>
      <c r="H752" s="1"/>
      <c r="I752" s="1"/>
    </row>
    <row r="753" spans="2:9" x14ac:dyDescent="0.25">
      <c r="B753" s="1"/>
      <c r="C753" s="1"/>
      <c r="D753" s="1"/>
      <c r="E753" s="1"/>
      <c r="F753" s="1"/>
      <c r="G753" s="1"/>
      <c r="H753" s="1"/>
      <c r="I753" s="1"/>
    </row>
    <row r="754" spans="2:9" x14ac:dyDescent="0.25">
      <c r="B754" s="1"/>
      <c r="C754" s="1"/>
      <c r="D754" s="1"/>
      <c r="E754" s="1"/>
      <c r="F754" s="1"/>
      <c r="G754" s="1"/>
      <c r="H754" s="1"/>
      <c r="I754" s="1"/>
    </row>
    <row r="755" spans="2:9" x14ac:dyDescent="0.25">
      <c r="B755" s="1"/>
      <c r="C755" s="1"/>
      <c r="D755" s="1"/>
      <c r="E755" s="1"/>
      <c r="F755" s="1"/>
      <c r="G755" s="1"/>
      <c r="H755" s="1"/>
      <c r="I755" s="1"/>
    </row>
    <row r="756" spans="2:9" x14ac:dyDescent="0.25">
      <c r="B756" s="1"/>
      <c r="C756" s="1"/>
      <c r="D756" s="1"/>
      <c r="E756" s="1"/>
      <c r="F756" s="1"/>
      <c r="G756" s="1"/>
      <c r="H756" s="1"/>
      <c r="I756" s="1"/>
    </row>
    <row r="757" spans="2:9" x14ac:dyDescent="0.25">
      <c r="B757" s="1"/>
      <c r="C757" s="1"/>
      <c r="D757" s="1"/>
      <c r="E757" s="1"/>
      <c r="F757" s="1"/>
      <c r="G757" s="1"/>
      <c r="H757" s="1"/>
      <c r="I757" s="1"/>
    </row>
    <row r="758" spans="2:9" x14ac:dyDescent="0.25">
      <c r="B758" s="1"/>
      <c r="C758" s="1"/>
      <c r="D758" s="1"/>
      <c r="E758" s="1"/>
      <c r="F758" s="1"/>
      <c r="G758" s="1"/>
      <c r="H758" s="1"/>
      <c r="I758" s="1"/>
    </row>
    <row r="759" spans="2:9" x14ac:dyDescent="0.25">
      <c r="B759" s="1"/>
      <c r="C759" s="1"/>
      <c r="D759" s="1"/>
      <c r="E759" s="1"/>
      <c r="F759" s="1"/>
      <c r="G759" s="1"/>
      <c r="H759" s="1"/>
      <c r="I759" s="1"/>
    </row>
    <row r="760" spans="2:9" x14ac:dyDescent="0.25">
      <c r="B760" s="1"/>
      <c r="C760" s="1"/>
      <c r="D760" s="1"/>
      <c r="E760" s="1"/>
      <c r="F760" s="1"/>
      <c r="G760" s="1"/>
      <c r="H760" s="1"/>
      <c r="I760" s="1"/>
    </row>
    <row r="761" spans="2:9" x14ac:dyDescent="0.25">
      <c r="B761" s="1"/>
      <c r="C761" s="1"/>
      <c r="D761" s="1"/>
      <c r="E761" s="1"/>
      <c r="F761" s="1"/>
      <c r="G761" s="1"/>
      <c r="H761" s="1"/>
      <c r="I761" s="1"/>
    </row>
    <row r="762" spans="2:9" x14ac:dyDescent="0.25">
      <c r="B762" s="1"/>
      <c r="C762" s="1"/>
      <c r="D762" s="1"/>
      <c r="E762" s="1"/>
      <c r="F762" s="1"/>
      <c r="G762" s="1"/>
      <c r="H762" s="1"/>
      <c r="I762" s="1"/>
    </row>
    <row r="763" spans="2:9" x14ac:dyDescent="0.25">
      <c r="B763" s="1"/>
      <c r="C763" s="1"/>
      <c r="D763" s="1"/>
      <c r="E763" s="1"/>
      <c r="F763" s="1"/>
      <c r="G763" s="1"/>
      <c r="H763" s="1"/>
      <c r="I763" s="1"/>
    </row>
    <row r="764" spans="2:9" x14ac:dyDescent="0.25">
      <c r="B764" s="1"/>
      <c r="C764" s="1"/>
      <c r="D764" s="1"/>
      <c r="E764" s="1"/>
      <c r="F764" s="1"/>
      <c r="G764" s="1"/>
      <c r="H764" s="1"/>
      <c r="I764" s="1"/>
    </row>
    <row r="765" spans="2:9" x14ac:dyDescent="0.25">
      <c r="B765" s="1"/>
      <c r="C765" s="1"/>
      <c r="D765" s="1"/>
      <c r="E765" s="1"/>
      <c r="F765" s="1"/>
      <c r="G765" s="1"/>
      <c r="H765" s="1"/>
      <c r="I765" s="1"/>
    </row>
    <row r="766" spans="2:9" x14ac:dyDescent="0.25">
      <c r="B766" s="1"/>
      <c r="C766" s="1"/>
      <c r="D766" s="1"/>
      <c r="E766" s="1"/>
      <c r="F766" s="1"/>
      <c r="G766" s="1"/>
      <c r="H766" s="1"/>
      <c r="I766" s="1"/>
    </row>
    <row r="767" spans="2:9" x14ac:dyDescent="0.25">
      <c r="B767" s="1"/>
      <c r="C767" s="1"/>
      <c r="D767" s="1"/>
      <c r="E767" s="1"/>
      <c r="F767" s="1"/>
      <c r="G767" s="1"/>
      <c r="H767" s="1"/>
      <c r="I767" s="1"/>
    </row>
    <row r="768" spans="2:9" x14ac:dyDescent="0.25">
      <c r="B768" s="1"/>
      <c r="C768" s="1"/>
      <c r="D768" s="1"/>
      <c r="E768" s="1"/>
      <c r="F768" s="1"/>
      <c r="G768" s="1"/>
      <c r="H768" s="1"/>
      <c r="I768" s="1"/>
    </row>
    <row r="769" spans="2:9" x14ac:dyDescent="0.25">
      <c r="B769" s="1"/>
      <c r="C769" s="1"/>
      <c r="D769" s="1"/>
      <c r="E769" s="1"/>
      <c r="F769" s="1"/>
      <c r="G769" s="1"/>
      <c r="H769" s="1"/>
      <c r="I769" s="1"/>
    </row>
    <row r="770" spans="2:9" x14ac:dyDescent="0.25">
      <c r="B770" s="1"/>
      <c r="C770" s="1"/>
      <c r="D770" s="1"/>
      <c r="E770" s="1"/>
      <c r="F770" s="1"/>
      <c r="G770" s="1"/>
      <c r="H770" s="1"/>
      <c r="I770" s="1"/>
    </row>
    <row r="771" spans="2:9" x14ac:dyDescent="0.25">
      <c r="B771" s="1"/>
      <c r="C771" s="1"/>
      <c r="D771" s="1"/>
      <c r="E771" s="1"/>
      <c r="F771" s="1"/>
      <c r="G771" s="1"/>
      <c r="H771" s="1"/>
      <c r="I771" s="1"/>
    </row>
    <row r="772" spans="2:9" x14ac:dyDescent="0.25">
      <c r="B772" s="1"/>
      <c r="C772" s="1"/>
      <c r="D772" s="1"/>
      <c r="E772" s="1"/>
      <c r="F772" s="1"/>
      <c r="G772" s="1"/>
      <c r="H772" s="1"/>
      <c r="I772" s="1"/>
    </row>
    <row r="773" spans="2:9" x14ac:dyDescent="0.25">
      <c r="B773" s="1"/>
      <c r="C773" s="1"/>
      <c r="D773" s="1"/>
      <c r="E773" s="1"/>
      <c r="F773" s="1"/>
      <c r="G773" s="1"/>
      <c r="H773" s="1"/>
      <c r="I773" s="1"/>
    </row>
    <row r="774" spans="2:9" x14ac:dyDescent="0.25">
      <c r="B774" s="1"/>
      <c r="C774" s="1"/>
      <c r="D774" s="1"/>
      <c r="E774" s="1"/>
      <c r="F774" s="1"/>
      <c r="G774" s="1"/>
      <c r="H774" s="1"/>
      <c r="I774" s="1"/>
    </row>
    <row r="775" spans="2:9" x14ac:dyDescent="0.25">
      <c r="B775" s="1"/>
      <c r="C775" s="1"/>
      <c r="D775" s="1"/>
      <c r="E775" s="1"/>
      <c r="F775" s="1"/>
      <c r="G775" s="1"/>
      <c r="H775" s="1"/>
      <c r="I775" s="1"/>
    </row>
    <row r="776" spans="2:9" x14ac:dyDescent="0.25">
      <c r="B776" s="1"/>
      <c r="C776" s="1"/>
      <c r="D776" s="1"/>
      <c r="E776" s="1"/>
      <c r="F776" s="1"/>
      <c r="G776" s="1"/>
      <c r="H776" s="1"/>
      <c r="I776" s="1"/>
    </row>
    <row r="777" spans="2:9" x14ac:dyDescent="0.25">
      <c r="B777" s="1"/>
      <c r="C777" s="1"/>
      <c r="D777" s="1"/>
      <c r="E777" s="1"/>
      <c r="F777" s="1"/>
      <c r="G777" s="1"/>
      <c r="H777" s="1"/>
      <c r="I777" s="1"/>
    </row>
    <row r="778" spans="2:9" x14ac:dyDescent="0.25">
      <c r="B778" s="1"/>
      <c r="C778" s="1"/>
      <c r="D778" s="1"/>
      <c r="E778" s="1"/>
      <c r="F778" s="1"/>
      <c r="G778" s="1"/>
      <c r="H778" s="1"/>
      <c r="I778" s="1"/>
    </row>
    <row r="779" spans="2:9" x14ac:dyDescent="0.25">
      <c r="B779" s="1"/>
      <c r="C779" s="1"/>
      <c r="D779" s="1"/>
      <c r="E779" s="1"/>
      <c r="F779" s="1"/>
      <c r="G779" s="1"/>
      <c r="H779" s="1"/>
      <c r="I779" s="1"/>
    </row>
    <row r="780" spans="2:9" x14ac:dyDescent="0.25">
      <c r="B780" s="1"/>
      <c r="C780" s="1"/>
      <c r="D780" s="1"/>
      <c r="E780" s="1"/>
      <c r="F780" s="1"/>
      <c r="G780" s="1"/>
      <c r="H780" s="1"/>
      <c r="I780" s="1"/>
    </row>
    <row r="781" spans="2:9" x14ac:dyDescent="0.25">
      <c r="B781" s="1"/>
      <c r="C781" s="1"/>
      <c r="D781" s="1"/>
      <c r="E781" s="1"/>
      <c r="F781" s="1"/>
      <c r="G781" s="1"/>
      <c r="H781" s="1"/>
      <c r="I781" s="1"/>
    </row>
    <row r="782" spans="2:9" x14ac:dyDescent="0.25">
      <c r="B782" s="1"/>
      <c r="C782" s="1"/>
      <c r="D782" s="1"/>
      <c r="E782" s="1"/>
      <c r="F782" s="1"/>
      <c r="G782" s="1"/>
      <c r="H782" s="1"/>
      <c r="I782" s="1"/>
    </row>
    <row r="783" spans="2:9" x14ac:dyDescent="0.25">
      <c r="B783" s="1"/>
      <c r="C783" s="1"/>
      <c r="D783" s="1"/>
      <c r="E783" s="1"/>
      <c r="F783" s="1"/>
      <c r="G783" s="1"/>
      <c r="H783" s="1"/>
      <c r="I783" s="1"/>
    </row>
    <row r="784" spans="2:9" x14ac:dyDescent="0.25">
      <c r="B784" s="1"/>
      <c r="C784" s="1"/>
      <c r="D784" s="1"/>
      <c r="E784" s="1"/>
      <c r="F784" s="1"/>
      <c r="G784" s="1"/>
      <c r="H784" s="1"/>
      <c r="I784" s="1"/>
    </row>
    <row r="785" spans="2:9" x14ac:dyDescent="0.25">
      <c r="B785" s="1"/>
      <c r="C785" s="1"/>
      <c r="D785" s="1"/>
      <c r="E785" s="1"/>
      <c r="F785" s="1"/>
      <c r="G785" s="1"/>
      <c r="H785" s="1"/>
      <c r="I785" s="1"/>
    </row>
    <row r="786" spans="2:9" x14ac:dyDescent="0.25">
      <c r="B786" s="1"/>
      <c r="C786" s="1"/>
      <c r="D786" s="1"/>
      <c r="E786" s="1"/>
      <c r="F786" s="1"/>
      <c r="G786" s="1"/>
      <c r="H786" s="1"/>
      <c r="I786" s="1"/>
    </row>
    <row r="787" spans="2:9" x14ac:dyDescent="0.25">
      <c r="B787" s="1"/>
      <c r="C787" s="1"/>
      <c r="D787" s="1"/>
      <c r="E787" s="1"/>
      <c r="F787" s="1"/>
      <c r="G787" s="1"/>
      <c r="H787" s="1"/>
      <c r="I787" s="1"/>
    </row>
    <row r="788" spans="2:9" x14ac:dyDescent="0.25">
      <c r="B788" s="1"/>
      <c r="C788" s="1"/>
      <c r="D788" s="1"/>
      <c r="E788" s="1"/>
      <c r="F788" s="1"/>
      <c r="G788" s="1"/>
      <c r="H788" s="1"/>
      <c r="I788" s="1"/>
    </row>
    <row r="789" spans="2:9" x14ac:dyDescent="0.25">
      <c r="B789" s="1"/>
      <c r="C789" s="1"/>
      <c r="D789" s="1"/>
      <c r="E789" s="1"/>
      <c r="F789" s="1"/>
      <c r="G789" s="1"/>
      <c r="H789" s="1"/>
      <c r="I789" s="1"/>
    </row>
    <row r="790" spans="2:9" x14ac:dyDescent="0.25">
      <c r="B790" s="1"/>
      <c r="C790" s="1"/>
      <c r="D790" s="1"/>
      <c r="E790" s="1"/>
      <c r="F790" s="1"/>
      <c r="G790" s="1"/>
      <c r="H790" s="1"/>
      <c r="I790" s="1"/>
    </row>
    <row r="791" spans="2:9" x14ac:dyDescent="0.25">
      <c r="B791" s="1"/>
      <c r="C791" s="1"/>
      <c r="D791" s="1"/>
      <c r="E791" s="1"/>
      <c r="F791" s="1"/>
      <c r="G791" s="1"/>
      <c r="H791" s="1"/>
      <c r="I791" s="1"/>
    </row>
    <row r="792" spans="2:9" x14ac:dyDescent="0.25">
      <c r="B792" s="1"/>
      <c r="C792" s="1"/>
      <c r="D792" s="1"/>
      <c r="E792" s="1"/>
      <c r="F792" s="1"/>
      <c r="G792" s="1"/>
      <c r="H792" s="1"/>
      <c r="I792" s="1"/>
    </row>
    <row r="793" spans="2:9" x14ac:dyDescent="0.25">
      <c r="B793" s="1"/>
      <c r="C793" s="1"/>
      <c r="D793" s="1"/>
      <c r="E793" s="1"/>
      <c r="F793" s="1"/>
      <c r="G793" s="1"/>
      <c r="H793" s="1"/>
      <c r="I793" s="1"/>
    </row>
    <row r="794" spans="2:9" x14ac:dyDescent="0.25">
      <c r="B794" s="1"/>
      <c r="C794" s="1"/>
      <c r="D794" s="1"/>
      <c r="E794" s="1"/>
      <c r="F794" s="1"/>
      <c r="G794" s="1"/>
      <c r="H794" s="1"/>
      <c r="I794" s="1"/>
    </row>
    <row r="795" spans="2:9" x14ac:dyDescent="0.25">
      <c r="B795" s="1"/>
      <c r="C795" s="1"/>
      <c r="D795" s="1"/>
      <c r="E795" s="1"/>
      <c r="F795" s="1"/>
      <c r="G795" s="1"/>
      <c r="H795" s="1"/>
      <c r="I795" s="1"/>
    </row>
    <row r="796" spans="2:9" x14ac:dyDescent="0.25">
      <c r="B796" s="1"/>
      <c r="C796" s="1"/>
      <c r="D796" s="1"/>
      <c r="E796" s="1"/>
      <c r="F796" s="1"/>
      <c r="G796" s="1"/>
      <c r="H796" s="1"/>
      <c r="I796" s="1"/>
    </row>
    <row r="797" spans="2:9" x14ac:dyDescent="0.25">
      <c r="B797" s="1"/>
      <c r="C797" s="1"/>
      <c r="D797" s="1"/>
      <c r="E797" s="1"/>
      <c r="F797" s="1"/>
      <c r="G797" s="1"/>
      <c r="H797" s="1"/>
      <c r="I797" s="1"/>
    </row>
    <row r="798" spans="2:9" x14ac:dyDescent="0.25">
      <c r="B798" s="1"/>
      <c r="C798" s="1"/>
      <c r="D798" s="1"/>
      <c r="E798" s="1"/>
      <c r="F798" s="1"/>
      <c r="G798" s="1"/>
      <c r="H798" s="1"/>
      <c r="I798" s="1"/>
    </row>
    <row r="799" spans="2:9" x14ac:dyDescent="0.25">
      <c r="B799" s="1"/>
      <c r="C799" s="1"/>
      <c r="D799" s="1"/>
      <c r="E799" s="1"/>
      <c r="F799" s="1"/>
      <c r="G799" s="1"/>
      <c r="H799" s="1"/>
      <c r="I799" s="1"/>
    </row>
    <row r="800" spans="2:9" x14ac:dyDescent="0.25">
      <c r="B800" s="1"/>
      <c r="C800" s="1"/>
      <c r="D800" s="1"/>
      <c r="E800" s="1"/>
      <c r="F800" s="1"/>
      <c r="G800" s="1"/>
      <c r="H800" s="1"/>
      <c r="I800" s="1"/>
    </row>
    <row r="801" spans="2:9" x14ac:dyDescent="0.25">
      <c r="B801" s="1"/>
      <c r="C801" s="1"/>
      <c r="D801" s="1"/>
      <c r="E801" s="1"/>
      <c r="F801" s="1"/>
      <c r="G801" s="1"/>
      <c r="H801" s="1"/>
      <c r="I801" s="1"/>
    </row>
    <row r="802" spans="2:9" x14ac:dyDescent="0.25">
      <c r="B802" s="1"/>
      <c r="C802" s="1"/>
      <c r="D802" s="1"/>
      <c r="E802" s="1"/>
      <c r="F802" s="1"/>
      <c r="G802" s="1"/>
      <c r="H802" s="1"/>
      <c r="I802" s="1"/>
    </row>
    <row r="803" spans="2:9" x14ac:dyDescent="0.25">
      <c r="B803" s="1"/>
      <c r="C803" s="1"/>
      <c r="D803" s="1"/>
      <c r="E803" s="1"/>
      <c r="F803" s="1"/>
      <c r="G803" s="1"/>
      <c r="H803" s="1"/>
      <c r="I803" s="1"/>
    </row>
    <row r="804" spans="2:9" x14ac:dyDescent="0.25">
      <c r="B804" s="1"/>
      <c r="C804" s="1"/>
      <c r="D804" s="1"/>
      <c r="E804" s="1"/>
      <c r="F804" s="1"/>
      <c r="G804" s="1"/>
      <c r="H804" s="1"/>
      <c r="I804" s="1"/>
    </row>
    <row r="805" spans="2:9" x14ac:dyDescent="0.25">
      <c r="B805" s="1"/>
      <c r="C805" s="1"/>
      <c r="D805" s="1"/>
      <c r="E805" s="1"/>
      <c r="F805" s="1"/>
      <c r="G805" s="1"/>
      <c r="H805" s="1"/>
      <c r="I805" s="1"/>
    </row>
    <row r="806" spans="2:9" x14ac:dyDescent="0.25">
      <c r="B806" s="1"/>
      <c r="C806" s="1"/>
      <c r="D806" s="1"/>
      <c r="E806" s="1"/>
      <c r="F806" s="1"/>
      <c r="G806" s="1"/>
      <c r="H806" s="1"/>
      <c r="I806" s="1"/>
    </row>
    <row r="807" spans="2:9" x14ac:dyDescent="0.25">
      <c r="B807" s="1"/>
      <c r="C807" s="1"/>
      <c r="D807" s="1"/>
      <c r="E807" s="1"/>
      <c r="F807" s="1"/>
      <c r="G807" s="1"/>
      <c r="H807" s="1"/>
      <c r="I807" s="1"/>
    </row>
    <row r="808" spans="2:9" x14ac:dyDescent="0.25">
      <c r="B808" s="1"/>
      <c r="C808" s="1"/>
      <c r="D808" s="1"/>
      <c r="E808" s="1"/>
      <c r="F808" s="1"/>
      <c r="G808" s="1"/>
      <c r="H808" s="1"/>
      <c r="I808" s="1"/>
    </row>
    <row r="809" spans="2:9" x14ac:dyDescent="0.25">
      <c r="B809" s="1"/>
      <c r="C809" s="1"/>
      <c r="D809" s="1"/>
      <c r="E809" s="1"/>
      <c r="F809" s="1"/>
      <c r="G809" s="1"/>
      <c r="H809" s="1"/>
      <c r="I809" s="1"/>
    </row>
    <row r="810" spans="2:9" x14ac:dyDescent="0.25">
      <c r="B810" s="1"/>
      <c r="C810" s="1"/>
      <c r="D810" s="1"/>
      <c r="E810" s="1"/>
      <c r="F810" s="1"/>
      <c r="G810" s="1"/>
      <c r="H810" s="1"/>
      <c r="I810" s="1"/>
    </row>
    <row r="811" spans="2:9" x14ac:dyDescent="0.25">
      <c r="B811" s="1"/>
      <c r="C811" s="1"/>
      <c r="D811" s="1"/>
      <c r="E811" s="1"/>
      <c r="F811" s="1"/>
      <c r="G811" s="1"/>
      <c r="H811" s="1"/>
      <c r="I811" s="1"/>
    </row>
    <row r="812" spans="2:9" x14ac:dyDescent="0.25">
      <c r="B812" s="1"/>
      <c r="C812" s="1"/>
      <c r="D812" s="1"/>
      <c r="E812" s="1"/>
      <c r="F812" s="1"/>
      <c r="G812" s="1"/>
      <c r="H812" s="1"/>
      <c r="I812" s="1"/>
    </row>
    <row r="813" spans="2:9" x14ac:dyDescent="0.25">
      <c r="B813" s="1"/>
      <c r="C813" s="1"/>
      <c r="D813" s="1"/>
      <c r="E813" s="1"/>
      <c r="F813" s="1"/>
      <c r="G813" s="1"/>
      <c r="H813" s="1"/>
      <c r="I813" s="1"/>
    </row>
    <row r="814" spans="2:9" x14ac:dyDescent="0.25">
      <c r="B814" s="1"/>
      <c r="C814" s="1"/>
      <c r="D814" s="1"/>
      <c r="E814" s="1"/>
      <c r="F814" s="1"/>
      <c r="G814" s="1"/>
      <c r="H814" s="1"/>
      <c r="I814" s="1"/>
    </row>
    <row r="815" spans="2:9" x14ac:dyDescent="0.25">
      <c r="B815" s="1"/>
      <c r="C815" s="1"/>
      <c r="D815" s="1"/>
      <c r="E815" s="1"/>
      <c r="F815" s="1"/>
      <c r="G815" s="1"/>
      <c r="H815" s="1"/>
      <c r="I815" s="1"/>
    </row>
    <row r="816" spans="2:9" x14ac:dyDescent="0.25">
      <c r="B816" s="1"/>
      <c r="C816" s="1"/>
      <c r="D816" s="1"/>
      <c r="E816" s="1"/>
      <c r="F816" s="1"/>
      <c r="G816" s="1"/>
      <c r="H816" s="1"/>
      <c r="I816" s="1"/>
    </row>
    <row r="817" spans="2:9" x14ac:dyDescent="0.25">
      <c r="B817" s="1"/>
      <c r="C817" s="1"/>
      <c r="D817" s="1"/>
      <c r="E817" s="1"/>
      <c r="F817" s="1"/>
      <c r="G817" s="1"/>
      <c r="H817" s="1"/>
      <c r="I817" s="1"/>
    </row>
    <row r="818" spans="2:9" x14ac:dyDescent="0.25">
      <c r="B818" s="1"/>
      <c r="C818" s="1"/>
      <c r="D818" s="1"/>
      <c r="E818" s="1"/>
      <c r="F818" s="1"/>
      <c r="G818" s="1"/>
      <c r="H818" s="1"/>
      <c r="I818" s="1"/>
    </row>
    <row r="819" spans="2:9" x14ac:dyDescent="0.25">
      <c r="B819" s="1"/>
      <c r="C819" s="1"/>
      <c r="D819" s="1"/>
      <c r="E819" s="1"/>
      <c r="F819" s="1"/>
      <c r="G819" s="1"/>
      <c r="H819" s="1"/>
      <c r="I819" s="1"/>
    </row>
    <row r="820" spans="2:9" x14ac:dyDescent="0.25">
      <c r="B820" s="1"/>
      <c r="C820" s="1"/>
      <c r="D820" s="1"/>
      <c r="E820" s="1"/>
      <c r="F820" s="1"/>
      <c r="G820" s="1"/>
      <c r="H820" s="1"/>
      <c r="I820" s="1"/>
    </row>
    <row r="821" spans="2:9" x14ac:dyDescent="0.25">
      <c r="B821" s="1"/>
      <c r="C821" s="1"/>
      <c r="D821" s="1"/>
      <c r="E821" s="1"/>
      <c r="F821" s="1"/>
      <c r="G821" s="1"/>
      <c r="H821" s="1"/>
      <c r="I821" s="1"/>
    </row>
    <row r="822" spans="2:9" x14ac:dyDescent="0.25">
      <c r="B822" s="1"/>
      <c r="C822" s="1"/>
      <c r="D822" s="1"/>
      <c r="E822" s="1"/>
      <c r="F822" s="1"/>
      <c r="G822" s="1"/>
      <c r="H822" s="1"/>
      <c r="I822" s="1"/>
    </row>
    <row r="823" spans="2:9" x14ac:dyDescent="0.25">
      <c r="B823" s="1"/>
      <c r="C823" s="1"/>
      <c r="D823" s="1"/>
      <c r="E823" s="1"/>
      <c r="F823" s="1"/>
      <c r="G823" s="1"/>
      <c r="H823" s="1"/>
      <c r="I823" s="1"/>
    </row>
    <row r="824" spans="2:9" x14ac:dyDescent="0.25">
      <c r="B824" s="1"/>
      <c r="C824" s="1"/>
      <c r="D824" s="1"/>
      <c r="E824" s="1"/>
      <c r="F824" s="1"/>
      <c r="G824" s="1"/>
      <c r="H824" s="1"/>
      <c r="I824" s="1"/>
    </row>
    <row r="825" spans="2:9" x14ac:dyDescent="0.25">
      <c r="B825" s="1"/>
      <c r="C825" s="1"/>
      <c r="D825" s="1"/>
      <c r="E825" s="1"/>
      <c r="F825" s="1"/>
      <c r="G825" s="1"/>
      <c r="H825" s="1"/>
      <c r="I825" s="1"/>
    </row>
    <row r="826" spans="2:9" x14ac:dyDescent="0.25">
      <c r="B826" s="1"/>
      <c r="C826" s="1"/>
      <c r="D826" s="1"/>
      <c r="E826" s="1"/>
      <c r="F826" s="1"/>
      <c r="G826" s="1"/>
      <c r="H826" s="1"/>
      <c r="I826" s="1"/>
    </row>
    <row r="827" spans="2:9" x14ac:dyDescent="0.25">
      <c r="B827" s="1"/>
      <c r="C827" s="1"/>
      <c r="D827" s="1"/>
      <c r="E827" s="1"/>
      <c r="F827" s="1"/>
      <c r="G827" s="1"/>
      <c r="H827" s="1"/>
      <c r="I827" s="1"/>
    </row>
    <row r="828" spans="2:9" x14ac:dyDescent="0.25">
      <c r="B828" s="1"/>
      <c r="C828" s="1"/>
      <c r="D828" s="1"/>
      <c r="E828" s="1"/>
      <c r="F828" s="1"/>
      <c r="G828" s="1"/>
      <c r="H828" s="1"/>
      <c r="I828" s="1"/>
    </row>
    <row r="829" spans="2:9" x14ac:dyDescent="0.25">
      <c r="B829" s="1"/>
      <c r="C829" s="1"/>
      <c r="D829" s="1"/>
      <c r="E829" s="1"/>
      <c r="F829" s="1"/>
      <c r="G829" s="1"/>
      <c r="H829" s="1"/>
      <c r="I829" s="1"/>
    </row>
    <row r="830" spans="2:9" x14ac:dyDescent="0.25">
      <c r="B830" s="1"/>
      <c r="C830" s="1"/>
      <c r="D830" s="1"/>
      <c r="E830" s="1"/>
      <c r="F830" s="1"/>
      <c r="G830" s="1"/>
      <c r="H830" s="1"/>
      <c r="I830" s="1"/>
    </row>
    <row r="831" spans="2:9" x14ac:dyDescent="0.25">
      <c r="B831" s="1"/>
      <c r="C831" s="1"/>
      <c r="D831" s="1"/>
      <c r="E831" s="1"/>
      <c r="F831" s="1"/>
      <c r="G831" s="1"/>
      <c r="H831" s="1"/>
      <c r="I831" s="1"/>
    </row>
    <row r="832" spans="2:9" x14ac:dyDescent="0.25">
      <c r="B832" s="1"/>
      <c r="C832" s="1"/>
      <c r="D832" s="1"/>
      <c r="E832" s="1"/>
      <c r="F832" s="1"/>
      <c r="G832" s="1"/>
      <c r="H832" s="1"/>
      <c r="I832" s="1"/>
    </row>
    <row r="833" spans="2:9" x14ac:dyDescent="0.25">
      <c r="B833" s="1"/>
      <c r="C833" s="1"/>
      <c r="D833" s="1"/>
      <c r="E833" s="1"/>
      <c r="F833" s="1"/>
      <c r="G833" s="1"/>
      <c r="H833" s="1"/>
      <c r="I833" s="1"/>
    </row>
    <row r="834" spans="2:9" x14ac:dyDescent="0.25">
      <c r="B834" s="1"/>
      <c r="C834" s="1"/>
      <c r="D834" s="1"/>
      <c r="E834" s="1"/>
      <c r="F834" s="1"/>
      <c r="G834" s="1"/>
      <c r="H834" s="1"/>
      <c r="I834" s="1"/>
    </row>
    <row r="835" spans="2:9" x14ac:dyDescent="0.25">
      <c r="B835" s="1"/>
      <c r="C835" s="1"/>
      <c r="D835" s="1"/>
      <c r="E835" s="1"/>
      <c r="F835" s="1"/>
      <c r="G835" s="1"/>
      <c r="H835" s="1"/>
      <c r="I835" s="1"/>
    </row>
    <row r="836" spans="2:9" x14ac:dyDescent="0.25">
      <c r="B836" s="1"/>
      <c r="C836" s="1"/>
      <c r="D836" s="1"/>
      <c r="E836" s="1"/>
      <c r="F836" s="1"/>
      <c r="G836" s="1"/>
      <c r="H836" s="1"/>
      <c r="I836" s="1"/>
    </row>
    <row r="837" spans="2:9" x14ac:dyDescent="0.25">
      <c r="B837" s="1"/>
      <c r="C837" s="1"/>
      <c r="D837" s="1"/>
      <c r="E837" s="1"/>
      <c r="F837" s="1"/>
      <c r="G837" s="1"/>
      <c r="H837" s="1"/>
      <c r="I837" s="1"/>
    </row>
    <row r="838" spans="2:9" x14ac:dyDescent="0.25">
      <c r="B838" s="1"/>
      <c r="C838" s="1"/>
      <c r="D838" s="1"/>
      <c r="E838" s="1"/>
      <c r="F838" s="1"/>
      <c r="G838" s="1"/>
      <c r="H838" s="1"/>
      <c r="I838" s="1"/>
    </row>
    <row r="839" spans="2:9" x14ac:dyDescent="0.25">
      <c r="B839" s="1"/>
      <c r="C839" s="1"/>
      <c r="D839" s="1"/>
      <c r="E839" s="1"/>
      <c r="F839" s="1"/>
      <c r="G839" s="1"/>
      <c r="H839" s="1"/>
      <c r="I839" s="1"/>
    </row>
    <row r="840" spans="2:9" x14ac:dyDescent="0.25">
      <c r="B840" s="1"/>
      <c r="C840" s="1"/>
      <c r="D840" s="1"/>
      <c r="E840" s="1"/>
      <c r="F840" s="1"/>
      <c r="G840" s="1"/>
      <c r="H840" s="1"/>
      <c r="I840" s="1"/>
    </row>
    <row r="841" spans="2:9" x14ac:dyDescent="0.25">
      <c r="B841" s="1"/>
      <c r="C841" s="1"/>
      <c r="D841" s="1"/>
      <c r="E841" s="1"/>
      <c r="F841" s="1"/>
      <c r="G841" s="1"/>
      <c r="H841" s="1"/>
      <c r="I841" s="1"/>
    </row>
    <row r="842" spans="2:9" x14ac:dyDescent="0.25">
      <c r="B842" s="1"/>
      <c r="C842" s="1"/>
      <c r="D842" s="1"/>
      <c r="E842" s="1"/>
      <c r="F842" s="1"/>
      <c r="G842" s="1"/>
      <c r="H842" s="1"/>
      <c r="I842" s="1"/>
    </row>
    <row r="843" spans="2:9" x14ac:dyDescent="0.25">
      <c r="B843" s="1"/>
      <c r="C843" s="1"/>
      <c r="D843" s="1"/>
      <c r="E843" s="1"/>
      <c r="F843" s="1"/>
      <c r="G843" s="1"/>
      <c r="H843" s="1"/>
      <c r="I843" s="1"/>
    </row>
    <row r="844" spans="2:9" x14ac:dyDescent="0.25">
      <c r="B844" s="1"/>
      <c r="C844" s="1"/>
      <c r="D844" s="1"/>
      <c r="E844" s="1"/>
      <c r="F844" s="1"/>
      <c r="G844" s="1"/>
      <c r="H844" s="1"/>
      <c r="I844" s="1"/>
    </row>
    <row r="845" spans="2:9" x14ac:dyDescent="0.25">
      <c r="B845" s="1"/>
      <c r="C845" s="1"/>
      <c r="D845" s="1"/>
      <c r="E845" s="1"/>
      <c r="F845" s="1"/>
      <c r="G845" s="1"/>
      <c r="H845" s="1"/>
      <c r="I845" s="1"/>
    </row>
    <row r="846" spans="2:9" x14ac:dyDescent="0.25">
      <c r="B846" s="1"/>
      <c r="C846" s="1"/>
      <c r="D846" s="1"/>
      <c r="E846" s="1"/>
      <c r="F846" s="1"/>
      <c r="G846" s="1"/>
      <c r="H846" s="1"/>
      <c r="I846" s="1"/>
    </row>
    <row r="847" spans="2:9" x14ac:dyDescent="0.25">
      <c r="B847" s="1"/>
      <c r="C847" s="1"/>
      <c r="D847" s="1"/>
      <c r="E847" s="1"/>
      <c r="F847" s="1"/>
      <c r="G847" s="1"/>
      <c r="H847" s="1"/>
      <c r="I847" s="1"/>
    </row>
    <row r="848" spans="2:9" x14ac:dyDescent="0.25">
      <c r="B848" s="1"/>
      <c r="C848" s="1"/>
      <c r="D848" s="1"/>
      <c r="E848" s="1"/>
      <c r="F848" s="1"/>
      <c r="G848" s="1"/>
      <c r="H848" s="1"/>
      <c r="I848" s="1"/>
    </row>
    <row r="849" spans="2:9" x14ac:dyDescent="0.25">
      <c r="B849" s="1"/>
      <c r="C849" s="1"/>
      <c r="D849" s="1"/>
      <c r="E849" s="1"/>
      <c r="F849" s="1"/>
      <c r="G849" s="1"/>
      <c r="H849" s="1"/>
      <c r="I849" s="1"/>
    </row>
    <row r="850" spans="2:9" x14ac:dyDescent="0.25">
      <c r="B850" s="1"/>
      <c r="C850" s="1"/>
      <c r="D850" s="1"/>
      <c r="E850" s="1"/>
      <c r="F850" s="1"/>
      <c r="G850" s="1"/>
      <c r="H850" s="1"/>
      <c r="I850" s="1"/>
    </row>
    <row r="851" spans="2:9" x14ac:dyDescent="0.25">
      <c r="B851" s="1"/>
      <c r="C851" s="1"/>
      <c r="D851" s="1"/>
      <c r="E851" s="1"/>
      <c r="F851" s="1"/>
      <c r="G851" s="1"/>
      <c r="H851" s="1"/>
      <c r="I851" s="1"/>
    </row>
    <row r="852" spans="2:9" x14ac:dyDescent="0.25">
      <c r="B852" s="1"/>
      <c r="C852" s="1"/>
      <c r="D852" s="1"/>
      <c r="E852" s="1"/>
      <c r="F852" s="1"/>
      <c r="G852" s="1"/>
      <c r="H852" s="1"/>
      <c r="I852" s="1"/>
    </row>
    <row r="853" spans="2:9" x14ac:dyDescent="0.25">
      <c r="B853" s="1"/>
      <c r="C853" s="1"/>
      <c r="D853" s="1"/>
      <c r="E853" s="1"/>
      <c r="F853" s="1"/>
      <c r="G853" s="1"/>
      <c r="H853" s="1"/>
      <c r="I853" s="1"/>
    </row>
    <row r="854" spans="2:9" x14ac:dyDescent="0.25">
      <c r="B854" s="1"/>
      <c r="C854" s="1"/>
      <c r="D854" s="1"/>
      <c r="E854" s="1"/>
      <c r="F854" s="1"/>
      <c r="G854" s="1"/>
      <c r="H854" s="1"/>
      <c r="I854" s="1"/>
    </row>
    <row r="855" spans="2:9" x14ac:dyDescent="0.25">
      <c r="B855" s="1"/>
      <c r="C855" s="1"/>
      <c r="D855" s="1"/>
      <c r="E855" s="1"/>
      <c r="F855" s="1"/>
      <c r="G855" s="1"/>
      <c r="H855" s="1"/>
      <c r="I855" s="1"/>
    </row>
    <row r="856" spans="2:9" x14ac:dyDescent="0.25">
      <c r="B856" s="1"/>
      <c r="C856" s="1"/>
      <c r="D856" s="1"/>
      <c r="E856" s="1"/>
      <c r="F856" s="1"/>
      <c r="G856" s="1"/>
      <c r="H856" s="1"/>
      <c r="I856" s="1"/>
    </row>
    <row r="857" spans="2:9" x14ac:dyDescent="0.25">
      <c r="B857" s="1"/>
      <c r="C857" s="1"/>
      <c r="D857" s="1"/>
      <c r="E857" s="1"/>
      <c r="F857" s="1"/>
      <c r="G857" s="1"/>
      <c r="H857" s="1"/>
      <c r="I857" s="1"/>
    </row>
    <row r="858" spans="2:9" x14ac:dyDescent="0.25">
      <c r="B858" s="1"/>
      <c r="C858" s="1"/>
      <c r="D858" s="1"/>
      <c r="E858" s="1"/>
      <c r="F858" s="1"/>
      <c r="G858" s="1"/>
      <c r="H858" s="1"/>
      <c r="I858" s="1"/>
    </row>
    <row r="859" spans="2:9" x14ac:dyDescent="0.25">
      <c r="B859" s="1"/>
      <c r="C859" s="1"/>
      <c r="D859" s="1"/>
      <c r="E859" s="1"/>
      <c r="F859" s="1"/>
      <c r="G859" s="1"/>
      <c r="H859" s="1"/>
      <c r="I859" s="1"/>
    </row>
    <row r="860" spans="2:9" x14ac:dyDescent="0.25">
      <c r="B860" s="1"/>
      <c r="C860" s="1"/>
      <c r="D860" s="1"/>
      <c r="E860" s="1"/>
      <c r="F860" s="1"/>
      <c r="G860" s="1"/>
      <c r="H860" s="1"/>
      <c r="I860" s="1"/>
    </row>
    <row r="861" spans="2:9" x14ac:dyDescent="0.25">
      <c r="B861" s="1"/>
      <c r="C861" s="1"/>
      <c r="D861" s="1"/>
      <c r="E861" s="1"/>
      <c r="F861" s="1"/>
      <c r="G861" s="1"/>
      <c r="H861" s="1"/>
      <c r="I861" s="1"/>
    </row>
    <row r="862" spans="2:9" x14ac:dyDescent="0.25">
      <c r="B862" s="1"/>
      <c r="C862" s="1"/>
      <c r="D862" s="1"/>
      <c r="E862" s="1"/>
      <c r="F862" s="1"/>
      <c r="G862" s="1"/>
      <c r="H862" s="1"/>
      <c r="I862" s="1"/>
    </row>
    <row r="863" spans="2:9" x14ac:dyDescent="0.25">
      <c r="B863" s="1"/>
      <c r="C863" s="1"/>
      <c r="D863" s="1"/>
      <c r="E863" s="1"/>
      <c r="F863" s="1"/>
      <c r="G863" s="1"/>
      <c r="H863" s="1"/>
      <c r="I863" s="1"/>
    </row>
    <row r="864" spans="2:9" x14ac:dyDescent="0.25">
      <c r="B864" s="1"/>
      <c r="C864" s="1"/>
      <c r="D864" s="1"/>
      <c r="E864" s="1"/>
      <c r="F864" s="1"/>
      <c r="G864" s="1"/>
      <c r="H864" s="1"/>
      <c r="I864" s="1"/>
    </row>
    <row r="865" spans="2:9" x14ac:dyDescent="0.25">
      <c r="B865" s="1"/>
      <c r="C865" s="1"/>
      <c r="D865" s="1"/>
      <c r="E865" s="1"/>
      <c r="F865" s="1"/>
      <c r="G865" s="1"/>
      <c r="H865" s="1"/>
      <c r="I865" s="1"/>
    </row>
    <row r="866" spans="2:9" x14ac:dyDescent="0.25">
      <c r="B866" s="1"/>
      <c r="C866" s="1"/>
      <c r="D866" s="1"/>
      <c r="E866" s="1"/>
      <c r="F866" s="1"/>
      <c r="G866" s="1"/>
      <c r="H866" s="1"/>
      <c r="I866" s="1"/>
    </row>
    <row r="867" spans="2:9" x14ac:dyDescent="0.25">
      <c r="B867" s="1"/>
      <c r="C867" s="1"/>
      <c r="D867" s="1"/>
      <c r="E867" s="1"/>
      <c r="F867" s="1"/>
      <c r="G867" s="1"/>
      <c r="H867" s="1"/>
      <c r="I867" s="1"/>
    </row>
    <row r="868" spans="2:9" x14ac:dyDescent="0.25">
      <c r="B868" s="1"/>
      <c r="C868" s="1"/>
      <c r="D868" s="1"/>
      <c r="E868" s="1"/>
      <c r="F868" s="1"/>
      <c r="G868" s="1"/>
      <c r="H868" s="1"/>
      <c r="I868" s="1"/>
    </row>
    <row r="869" spans="2:9" x14ac:dyDescent="0.25">
      <c r="B869" s="1"/>
      <c r="C869" s="1"/>
      <c r="D869" s="1"/>
      <c r="E869" s="1"/>
      <c r="F869" s="1"/>
      <c r="G869" s="1"/>
      <c r="H869" s="1"/>
      <c r="I869" s="1"/>
    </row>
    <row r="870" spans="2:9" x14ac:dyDescent="0.25">
      <c r="B870" s="1"/>
      <c r="C870" s="1"/>
      <c r="D870" s="1"/>
      <c r="E870" s="1"/>
      <c r="F870" s="1"/>
      <c r="G870" s="1"/>
      <c r="H870" s="1"/>
      <c r="I870" s="1"/>
    </row>
    <row r="871" spans="2:9" x14ac:dyDescent="0.25">
      <c r="B871" s="1"/>
      <c r="C871" s="1"/>
      <c r="D871" s="1"/>
      <c r="E871" s="1"/>
      <c r="F871" s="1"/>
      <c r="G871" s="1"/>
      <c r="H871" s="1"/>
      <c r="I871" s="1"/>
    </row>
    <row r="872" spans="2:9" x14ac:dyDescent="0.25">
      <c r="B872" s="1"/>
      <c r="C872" s="1"/>
      <c r="D872" s="1"/>
      <c r="E872" s="1"/>
      <c r="F872" s="1"/>
      <c r="G872" s="1"/>
      <c r="H872" s="1"/>
      <c r="I872" s="1"/>
    </row>
    <row r="873" spans="2:9" x14ac:dyDescent="0.25">
      <c r="B873" s="1"/>
      <c r="C873" s="1"/>
      <c r="D873" s="1"/>
      <c r="E873" s="1"/>
      <c r="F873" s="1"/>
      <c r="G873" s="1"/>
      <c r="H873" s="1"/>
      <c r="I873" s="1"/>
    </row>
    <row r="874" spans="2:9" x14ac:dyDescent="0.25">
      <c r="B874" s="1"/>
      <c r="C874" s="1"/>
      <c r="D874" s="1"/>
      <c r="E874" s="1"/>
      <c r="F874" s="1"/>
      <c r="G874" s="1"/>
      <c r="H874" s="1"/>
      <c r="I874" s="1"/>
    </row>
    <row r="875" spans="2:9" x14ac:dyDescent="0.25">
      <c r="B875" s="1"/>
      <c r="C875" s="1"/>
      <c r="D875" s="1"/>
      <c r="E875" s="1"/>
      <c r="F875" s="1"/>
      <c r="G875" s="1"/>
      <c r="H875" s="1"/>
      <c r="I875" s="1"/>
    </row>
    <row r="876" spans="2:9" x14ac:dyDescent="0.25">
      <c r="B876" s="1"/>
      <c r="C876" s="1"/>
      <c r="D876" s="1"/>
      <c r="E876" s="1"/>
      <c r="F876" s="1"/>
      <c r="G876" s="1"/>
      <c r="H876" s="1"/>
      <c r="I876" s="1"/>
    </row>
    <row r="877" spans="2:9" x14ac:dyDescent="0.25">
      <c r="B877" s="1"/>
      <c r="C877" s="1"/>
      <c r="D877" s="1"/>
      <c r="E877" s="1"/>
      <c r="F877" s="1"/>
      <c r="G877" s="1"/>
      <c r="H877" s="1"/>
      <c r="I877" s="1"/>
    </row>
    <row r="878" spans="2:9" x14ac:dyDescent="0.25">
      <c r="B878" s="1"/>
      <c r="C878" s="1"/>
      <c r="D878" s="1"/>
      <c r="E878" s="1"/>
      <c r="F878" s="1"/>
      <c r="G878" s="1"/>
      <c r="H878" s="1"/>
      <c r="I878" s="1"/>
    </row>
    <row r="879" spans="2:9" x14ac:dyDescent="0.25">
      <c r="B879" s="1"/>
      <c r="C879" s="1"/>
      <c r="D879" s="1"/>
      <c r="E879" s="1"/>
      <c r="F879" s="1"/>
      <c r="G879" s="1"/>
      <c r="H879" s="1"/>
      <c r="I879" s="1"/>
    </row>
    <row r="880" spans="2:9" x14ac:dyDescent="0.25">
      <c r="B880" s="1"/>
      <c r="C880" s="1"/>
      <c r="D880" s="1"/>
      <c r="E880" s="1"/>
      <c r="F880" s="1"/>
      <c r="G880" s="1"/>
      <c r="H880" s="1"/>
      <c r="I880" s="1"/>
    </row>
    <row r="881" spans="2:9" x14ac:dyDescent="0.25">
      <c r="B881" s="1"/>
      <c r="C881" s="1"/>
      <c r="D881" s="1"/>
      <c r="E881" s="1"/>
      <c r="F881" s="1"/>
      <c r="G881" s="1"/>
      <c r="H881" s="1"/>
      <c r="I881" s="1"/>
    </row>
    <row r="882" spans="2:9" x14ac:dyDescent="0.25">
      <c r="B882" s="1"/>
      <c r="C882" s="1"/>
      <c r="D882" s="1"/>
      <c r="E882" s="1"/>
      <c r="F882" s="1"/>
      <c r="G882" s="1"/>
      <c r="H882" s="1"/>
      <c r="I882" s="1"/>
    </row>
    <row r="883" spans="2:9" x14ac:dyDescent="0.25">
      <c r="B883" s="1"/>
      <c r="C883" s="1"/>
      <c r="D883" s="1"/>
      <c r="E883" s="1"/>
      <c r="F883" s="1"/>
      <c r="G883" s="1"/>
      <c r="H883" s="1"/>
      <c r="I883" s="1"/>
    </row>
    <row r="884" spans="2:9" x14ac:dyDescent="0.25">
      <c r="B884" s="1"/>
      <c r="C884" s="1"/>
      <c r="D884" s="1"/>
      <c r="E884" s="1"/>
      <c r="F884" s="1"/>
      <c r="G884" s="1"/>
      <c r="H884" s="1"/>
      <c r="I884" s="1"/>
    </row>
    <row r="885" spans="2:9" x14ac:dyDescent="0.25">
      <c r="B885" s="1"/>
      <c r="C885" s="1"/>
      <c r="D885" s="1"/>
      <c r="E885" s="1"/>
      <c r="F885" s="1"/>
      <c r="G885" s="1"/>
      <c r="H885" s="1"/>
      <c r="I885" s="1"/>
    </row>
    <row r="886" spans="2:9" x14ac:dyDescent="0.25">
      <c r="B886" s="1"/>
      <c r="C886" s="1"/>
      <c r="D886" s="1"/>
      <c r="E886" s="1"/>
      <c r="F886" s="1"/>
      <c r="G886" s="1"/>
      <c r="H886" s="1"/>
      <c r="I886" s="1"/>
    </row>
    <row r="887" spans="2:9" x14ac:dyDescent="0.25">
      <c r="B887" s="1"/>
      <c r="C887" s="1"/>
      <c r="D887" s="1"/>
      <c r="E887" s="1"/>
      <c r="F887" s="1"/>
      <c r="G887" s="1"/>
      <c r="H887" s="1"/>
      <c r="I887" s="1"/>
    </row>
    <row r="888" spans="2:9" x14ac:dyDescent="0.25">
      <c r="B888" s="1"/>
      <c r="C888" s="1"/>
      <c r="D888" s="1"/>
      <c r="E888" s="1"/>
      <c r="F888" s="1"/>
      <c r="G888" s="1"/>
      <c r="H888" s="1"/>
      <c r="I888" s="1"/>
    </row>
    <row r="889" spans="2:9" x14ac:dyDescent="0.25">
      <c r="B889" s="1"/>
      <c r="C889" s="1"/>
      <c r="D889" s="1"/>
      <c r="E889" s="1"/>
      <c r="F889" s="1"/>
      <c r="G889" s="1"/>
      <c r="H889" s="1"/>
      <c r="I889" s="1"/>
    </row>
    <row r="890" spans="2:9" x14ac:dyDescent="0.25">
      <c r="B890" s="1"/>
      <c r="C890" s="1"/>
      <c r="D890" s="1"/>
      <c r="E890" s="1"/>
      <c r="F890" s="1"/>
      <c r="G890" s="1"/>
      <c r="H890" s="1"/>
      <c r="I890" s="1"/>
    </row>
    <row r="891" spans="2:9" x14ac:dyDescent="0.25">
      <c r="B891" s="1"/>
      <c r="C891" s="1"/>
      <c r="D891" s="1"/>
      <c r="E891" s="1"/>
      <c r="F891" s="1"/>
      <c r="G891" s="1"/>
      <c r="H891" s="1"/>
      <c r="I891" s="1"/>
    </row>
    <row r="892" spans="2:9" x14ac:dyDescent="0.25">
      <c r="B892" s="1"/>
      <c r="C892" s="1"/>
      <c r="D892" s="1"/>
      <c r="E892" s="1"/>
      <c r="F892" s="1"/>
      <c r="G892" s="1"/>
      <c r="H892" s="1"/>
      <c r="I892" s="1"/>
    </row>
    <row r="893" spans="2:9" x14ac:dyDescent="0.25">
      <c r="B893" s="1"/>
      <c r="C893" s="1"/>
      <c r="D893" s="1"/>
      <c r="E893" s="1"/>
      <c r="F893" s="1"/>
      <c r="G893" s="1"/>
      <c r="H893" s="1"/>
      <c r="I893" s="1"/>
    </row>
    <row r="894" spans="2:9" x14ac:dyDescent="0.25">
      <c r="B894" s="1"/>
      <c r="C894" s="1"/>
      <c r="D894" s="1"/>
      <c r="E894" s="1"/>
      <c r="F894" s="1"/>
      <c r="G894" s="1"/>
      <c r="H894" s="1"/>
      <c r="I894" s="1"/>
    </row>
    <row r="895" spans="2:9" x14ac:dyDescent="0.25">
      <c r="B895" s="1"/>
      <c r="C895" s="1"/>
      <c r="D895" s="1"/>
      <c r="E895" s="1"/>
      <c r="F895" s="1"/>
      <c r="G895" s="1"/>
      <c r="H895" s="1"/>
      <c r="I895" s="1"/>
    </row>
    <row r="896" spans="2:9" x14ac:dyDescent="0.25">
      <c r="B896" s="1"/>
      <c r="C896" s="1"/>
      <c r="D896" s="1"/>
      <c r="E896" s="1"/>
      <c r="F896" s="1"/>
      <c r="G896" s="1"/>
      <c r="H896" s="1"/>
      <c r="I896" s="1"/>
    </row>
    <row r="897" spans="2:9" x14ac:dyDescent="0.25">
      <c r="B897" s="1"/>
      <c r="C897" s="1"/>
      <c r="D897" s="1"/>
      <c r="E897" s="1"/>
      <c r="F897" s="1"/>
      <c r="G897" s="1"/>
      <c r="H897" s="1"/>
      <c r="I897" s="1"/>
    </row>
    <row r="898" spans="2:9" x14ac:dyDescent="0.25">
      <c r="B898" s="1"/>
      <c r="C898" s="1"/>
      <c r="D898" s="1"/>
      <c r="E898" s="1"/>
      <c r="F898" s="1"/>
      <c r="G898" s="1"/>
      <c r="H898" s="1"/>
      <c r="I898" s="1"/>
    </row>
    <row r="899" spans="2:9" x14ac:dyDescent="0.25">
      <c r="B899" s="1"/>
      <c r="C899" s="1"/>
      <c r="D899" s="1"/>
      <c r="E899" s="1"/>
      <c r="F899" s="1"/>
      <c r="G899" s="1"/>
      <c r="H899" s="1"/>
      <c r="I899" s="1"/>
    </row>
    <row r="900" spans="2:9" x14ac:dyDescent="0.25">
      <c r="B900" s="1"/>
      <c r="C900" s="1"/>
      <c r="D900" s="1"/>
      <c r="E900" s="1"/>
      <c r="F900" s="1"/>
      <c r="G900" s="1"/>
      <c r="H900" s="1"/>
      <c r="I900" s="1"/>
    </row>
    <row r="901" spans="2:9" x14ac:dyDescent="0.25">
      <c r="B901" s="1"/>
      <c r="C901" s="1"/>
      <c r="D901" s="1"/>
      <c r="E901" s="1"/>
      <c r="F901" s="1"/>
      <c r="G901" s="1"/>
      <c r="H901" s="1"/>
      <c r="I901" s="1"/>
    </row>
    <row r="902" spans="2:9" x14ac:dyDescent="0.25">
      <c r="B902" s="1"/>
      <c r="C902" s="1"/>
      <c r="D902" s="1"/>
      <c r="E902" s="1"/>
      <c r="F902" s="1"/>
      <c r="G902" s="1"/>
      <c r="H902" s="1"/>
      <c r="I902" s="1"/>
    </row>
    <row r="903" spans="2:9" x14ac:dyDescent="0.25">
      <c r="B903" s="1"/>
      <c r="C903" s="1"/>
      <c r="D903" s="1"/>
      <c r="E903" s="1"/>
      <c r="F903" s="1"/>
      <c r="G903" s="1"/>
      <c r="H903" s="1"/>
      <c r="I903" s="1"/>
    </row>
    <row r="904" spans="2:9" x14ac:dyDescent="0.25">
      <c r="B904" s="1"/>
      <c r="C904" s="1"/>
      <c r="D904" s="1"/>
      <c r="E904" s="1"/>
      <c r="F904" s="1"/>
      <c r="G904" s="1"/>
      <c r="H904" s="1"/>
      <c r="I904" s="1"/>
    </row>
    <row r="905" spans="2:9" x14ac:dyDescent="0.25">
      <c r="B905" s="1"/>
      <c r="C905" s="1"/>
      <c r="D905" s="1"/>
      <c r="E905" s="1"/>
      <c r="F905" s="1"/>
      <c r="G905" s="1"/>
      <c r="H905" s="1"/>
      <c r="I905" s="1"/>
    </row>
    <row r="906" spans="2:9" x14ac:dyDescent="0.25">
      <c r="B906" s="1"/>
      <c r="C906" s="1"/>
      <c r="D906" s="1"/>
      <c r="E906" s="1"/>
      <c r="F906" s="1"/>
      <c r="G906" s="1"/>
      <c r="H906" s="1"/>
      <c r="I906" s="1"/>
    </row>
    <row r="907" spans="2:9" x14ac:dyDescent="0.25">
      <c r="B907" s="1"/>
      <c r="C907" s="1"/>
      <c r="D907" s="1"/>
      <c r="E907" s="1"/>
      <c r="F907" s="1"/>
      <c r="G907" s="1"/>
      <c r="H907" s="1"/>
      <c r="I907" s="1"/>
    </row>
    <row r="908" spans="2:9" x14ac:dyDescent="0.25">
      <c r="B908" s="1"/>
      <c r="C908" s="1"/>
      <c r="D908" s="1"/>
      <c r="E908" s="1"/>
      <c r="F908" s="1"/>
      <c r="G908" s="1"/>
      <c r="H908" s="1"/>
      <c r="I908" s="1"/>
    </row>
    <row r="909" spans="2:9" x14ac:dyDescent="0.25">
      <c r="B909" s="1"/>
      <c r="C909" s="1"/>
      <c r="D909" s="1"/>
      <c r="E909" s="1"/>
      <c r="F909" s="1"/>
      <c r="G909" s="1"/>
      <c r="H909" s="1"/>
      <c r="I909" s="1"/>
    </row>
    <row r="910" spans="2:9" x14ac:dyDescent="0.25">
      <c r="B910" s="1"/>
      <c r="C910" s="1"/>
      <c r="D910" s="1"/>
      <c r="E910" s="1"/>
      <c r="F910" s="1"/>
      <c r="G910" s="1"/>
      <c r="H910" s="1"/>
      <c r="I910" s="1"/>
    </row>
    <row r="911" spans="2:9" x14ac:dyDescent="0.25">
      <c r="B911" s="1"/>
      <c r="C911" s="1"/>
      <c r="D911" s="1"/>
      <c r="E911" s="1"/>
      <c r="F911" s="1"/>
      <c r="G911" s="1"/>
      <c r="H911" s="1"/>
      <c r="I911" s="1"/>
    </row>
    <row r="912" spans="2:9" x14ac:dyDescent="0.25">
      <c r="B912" s="1"/>
      <c r="C912" s="1"/>
      <c r="D912" s="1"/>
      <c r="E912" s="1"/>
      <c r="F912" s="1"/>
      <c r="G912" s="1"/>
      <c r="H912" s="1"/>
      <c r="I912" s="1"/>
    </row>
    <row r="913" spans="2:9" x14ac:dyDescent="0.25">
      <c r="B913" s="1"/>
      <c r="C913" s="1"/>
      <c r="D913" s="1"/>
      <c r="E913" s="1"/>
      <c r="F913" s="1"/>
      <c r="G913" s="1"/>
      <c r="H913" s="1"/>
      <c r="I913" s="1"/>
    </row>
    <row r="914" spans="2:9" x14ac:dyDescent="0.25">
      <c r="B914" s="1"/>
      <c r="C914" s="1"/>
      <c r="D914" s="1"/>
      <c r="E914" s="1"/>
      <c r="F914" s="1"/>
      <c r="G914" s="1"/>
      <c r="H914" s="1"/>
      <c r="I914" s="1"/>
    </row>
    <row r="915" spans="2:9" x14ac:dyDescent="0.25">
      <c r="B915" s="1"/>
      <c r="C915" s="1"/>
      <c r="D915" s="1"/>
      <c r="E915" s="1"/>
      <c r="F915" s="1"/>
      <c r="G915" s="1"/>
      <c r="H915" s="1"/>
      <c r="I915" s="1"/>
    </row>
    <row r="916" spans="2:9" x14ac:dyDescent="0.25">
      <c r="B916" s="1"/>
      <c r="C916" s="1"/>
      <c r="D916" s="1"/>
      <c r="E916" s="1"/>
      <c r="F916" s="1"/>
      <c r="G916" s="1"/>
      <c r="H916" s="1"/>
      <c r="I916" s="1"/>
    </row>
    <row r="917" spans="2:9" x14ac:dyDescent="0.25">
      <c r="B917" s="1"/>
      <c r="C917" s="1"/>
      <c r="D917" s="1"/>
      <c r="E917" s="1"/>
      <c r="F917" s="1"/>
      <c r="G917" s="1"/>
      <c r="H917" s="1"/>
      <c r="I917" s="1"/>
    </row>
    <row r="918" spans="2:9" x14ac:dyDescent="0.25">
      <c r="B918" s="1"/>
      <c r="C918" s="1"/>
      <c r="D918" s="1"/>
      <c r="E918" s="1"/>
      <c r="F918" s="1"/>
      <c r="G918" s="1"/>
      <c r="H918" s="1"/>
      <c r="I918" s="1"/>
    </row>
    <row r="919" spans="2:9" x14ac:dyDescent="0.25">
      <c r="B919" s="1"/>
      <c r="C919" s="1"/>
      <c r="D919" s="1"/>
      <c r="E919" s="1"/>
      <c r="F919" s="1"/>
      <c r="G919" s="1"/>
      <c r="H919" s="1"/>
      <c r="I919" s="1"/>
    </row>
    <row r="920" spans="2:9" x14ac:dyDescent="0.25">
      <c r="B920" s="1"/>
      <c r="C920" s="1"/>
      <c r="D920" s="1"/>
      <c r="E920" s="1"/>
      <c r="F920" s="1"/>
      <c r="G920" s="1"/>
      <c r="H920" s="1"/>
      <c r="I920" s="1"/>
    </row>
    <row r="921" spans="2:9" x14ac:dyDescent="0.25">
      <c r="B921" s="1"/>
      <c r="C921" s="1"/>
      <c r="D921" s="1"/>
      <c r="E921" s="1"/>
      <c r="F921" s="1"/>
      <c r="G921" s="1"/>
      <c r="H921" s="1"/>
      <c r="I921" s="1"/>
    </row>
    <row r="922" spans="2:9" x14ac:dyDescent="0.25">
      <c r="B922" s="1"/>
      <c r="C922" s="1"/>
      <c r="D922" s="1"/>
      <c r="E922" s="1"/>
      <c r="F922" s="1"/>
      <c r="G922" s="1"/>
      <c r="H922" s="1"/>
      <c r="I922" s="1"/>
    </row>
    <row r="923" spans="2:9" x14ac:dyDescent="0.25">
      <c r="B923" s="1"/>
      <c r="C923" s="1"/>
      <c r="D923" s="1"/>
      <c r="E923" s="1"/>
      <c r="F923" s="1"/>
      <c r="G923" s="1"/>
      <c r="H923" s="1"/>
      <c r="I923" s="1"/>
    </row>
    <row r="924" spans="2:9" x14ac:dyDescent="0.25">
      <c r="B924" s="1"/>
      <c r="C924" s="1"/>
      <c r="D924" s="1"/>
      <c r="E924" s="1"/>
      <c r="F924" s="1"/>
      <c r="G924" s="1"/>
      <c r="H924" s="1"/>
      <c r="I924" s="1"/>
    </row>
    <row r="925" spans="2:9" x14ac:dyDescent="0.25">
      <c r="B925" s="1"/>
      <c r="C925" s="1"/>
      <c r="D925" s="1"/>
      <c r="E925" s="1"/>
      <c r="F925" s="1"/>
      <c r="G925" s="1"/>
      <c r="H925" s="1"/>
      <c r="I925" s="1"/>
    </row>
    <row r="926" spans="2:9" x14ac:dyDescent="0.25">
      <c r="B926" s="1"/>
      <c r="C926" s="1"/>
      <c r="D926" s="1"/>
      <c r="E926" s="1"/>
      <c r="F926" s="1"/>
      <c r="G926" s="1"/>
      <c r="H926" s="1"/>
      <c r="I926" s="1"/>
    </row>
    <row r="927" spans="2:9" x14ac:dyDescent="0.25">
      <c r="B927" s="1"/>
      <c r="C927" s="1"/>
      <c r="D927" s="1"/>
      <c r="E927" s="1"/>
      <c r="F927" s="1"/>
      <c r="G927" s="1"/>
      <c r="H927" s="1"/>
      <c r="I927" s="1"/>
    </row>
    <row r="928" spans="2:9" x14ac:dyDescent="0.25">
      <c r="B928" s="1"/>
      <c r="C928" s="1"/>
      <c r="D928" s="1"/>
      <c r="E928" s="1"/>
      <c r="F928" s="1"/>
      <c r="G928" s="1"/>
      <c r="H928" s="1"/>
      <c r="I928" s="1"/>
    </row>
    <row r="929" spans="2:9" x14ac:dyDescent="0.25">
      <c r="B929" s="1"/>
      <c r="C929" s="1"/>
      <c r="D929" s="1"/>
      <c r="E929" s="1"/>
      <c r="F929" s="1"/>
      <c r="G929" s="1"/>
      <c r="H929" s="1"/>
      <c r="I929" s="1"/>
    </row>
    <row r="930" spans="2:9" x14ac:dyDescent="0.25">
      <c r="B930" s="1"/>
      <c r="C930" s="1"/>
      <c r="D930" s="1"/>
      <c r="E930" s="1"/>
      <c r="F930" s="1"/>
      <c r="G930" s="1"/>
      <c r="H930" s="1"/>
      <c r="I930" s="1"/>
    </row>
    <row r="931" spans="2:9" x14ac:dyDescent="0.25">
      <c r="B931" s="1"/>
      <c r="C931" s="1"/>
      <c r="D931" s="1"/>
      <c r="E931" s="1"/>
      <c r="F931" s="1"/>
      <c r="G931" s="1"/>
      <c r="H931" s="1"/>
      <c r="I931" s="1"/>
    </row>
    <row r="932" spans="2:9" x14ac:dyDescent="0.25">
      <c r="B932" s="1"/>
      <c r="C932" s="1"/>
      <c r="D932" s="1"/>
      <c r="E932" s="1"/>
      <c r="F932" s="1"/>
      <c r="G932" s="1"/>
      <c r="H932" s="1"/>
      <c r="I932" s="1"/>
    </row>
    <row r="933" spans="2:9" x14ac:dyDescent="0.25">
      <c r="B933" s="1"/>
      <c r="C933" s="1"/>
      <c r="D933" s="1"/>
      <c r="E933" s="1"/>
      <c r="F933" s="1"/>
      <c r="G933" s="1"/>
      <c r="H933" s="1"/>
      <c r="I933" s="1"/>
    </row>
    <row r="934" spans="2:9" x14ac:dyDescent="0.25">
      <c r="B934" s="1"/>
      <c r="C934" s="1"/>
      <c r="D934" s="1"/>
      <c r="E934" s="1"/>
      <c r="F934" s="1"/>
      <c r="G934" s="1"/>
      <c r="H934" s="1"/>
      <c r="I934" s="1"/>
    </row>
    <row r="935" spans="2:9" x14ac:dyDescent="0.25">
      <c r="B935" s="1"/>
      <c r="C935" s="1"/>
      <c r="D935" s="1"/>
      <c r="E935" s="1"/>
      <c r="F935" s="1"/>
      <c r="G935" s="1"/>
      <c r="H935" s="1"/>
      <c r="I935" s="1"/>
    </row>
    <row r="936" spans="2:9" x14ac:dyDescent="0.25">
      <c r="B936" s="1"/>
      <c r="C936" s="1"/>
      <c r="D936" s="1"/>
      <c r="E936" s="1"/>
      <c r="F936" s="1"/>
      <c r="G936" s="1"/>
      <c r="H936" s="1"/>
      <c r="I936" s="1"/>
    </row>
    <row r="937" spans="2:9" x14ac:dyDescent="0.25">
      <c r="B937" s="1"/>
      <c r="C937" s="1"/>
      <c r="D937" s="1"/>
      <c r="E937" s="1"/>
      <c r="F937" s="1"/>
      <c r="G937" s="1"/>
      <c r="H937" s="1"/>
      <c r="I937" s="1"/>
    </row>
    <row r="938" spans="2:9" x14ac:dyDescent="0.25">
      <c r="B938" s="1"/>
      <c r="C938" s="1"/>
      <c r="D938" s="1"/>
      <c r="E938" s="1"/>
      <c r="F938" s="1"/>
      <c r="G938" s="1"/>
      <c r="H938" s="1"/>
      <c r="I938" s="1"/>
    </row>
    <row r="939" spans="2:9" x14ac:dyDescent="0.25">
      <c r="B939" s="1"/>
      <c r="C939" s="1"/>
      <c r="D939" s="1"/>
      <c r="E939" s="1"/>
      <c r="F939" s="1"/>
      <c r="G939" s="1"/>
      <c r="H939" s="1"/>
      <c r="I939" s="1"/>
    </row>
    <row r="940" spans="2:9" x14ac:dyDescent="0.25">
      <c r="B940" s="1"/>
      <c r="C940" s="1"/>
      <c r="D940" s="1"/>
      <c r="E940" s="1"/>
      <c r="F940" s="1"/>
      <c r="G940" s="1"/>
      <c r="H940" s="1"/>
      <c r="I940" s="1"/>
    </row>
    <row r="941" spans="2:9" x14ac:dyDescent="0.25">
      <c r="B941" s="1"/>
      <c r="C941" s="1"/>
      <c r="D941" s="1"/>
      <c r="E941" s="1"/>
      <c r="F941" s="1"/>
      <c r="G941" s="1"/>
      <c r="H941" s="1"/>
      <c r="I941" s="1"/>
    </row>
    <row r="942" spans="2:9" x14ac:dyDescent="0.25">
      <c r="B942" s="1"/>
      <c r="C942" s="1"/>
      <c r="D942" s="1"/>
      <c r="E942" s="1"/>
      <c r="F942" s="1"/>
      <c r="G942" s="1"/>
      <c r="H942" s="1"/>
      <c r="I942" s="1"/>
    </row>
    <row r="943" spans="2:9" x14ac:dyDescent="0.25">
      <c r="B943" s="1"/>
      <c r="C943" s="1"/>
      <c r="D943" s="1"/>
      <c r="E943" s="1"/>
      <c r="F943" s="1"/>
      <c r="G943" s="1"/>
      <c r="H943" s="1"/>
      <c r="I943" s="1"/>
    </row>
    <row r="944" spans="2:9" x14ac:dyDescent="0.25">
      <c r="B944" s="1"/>
      <c r="C944" s="1"/>
      <c r="D944" s="1"/>
      <c r="E944" s="1"/>
      <c r="F944" s="1"/>
      <c r="G944" s="1"/>
      <c r="H944" s="1"/>
      <c r="I944" s="1"/>
    </row>
    <row r="945" spans="2:9" x14ac:dyDescent="0.25">
      <c r="B945" s="1"/>
      <c r="C945" s="1"/>
      <c r="D945" s="1"/>
      <c r="E945" s="1"/>
      <c r="F945" s="1"/>
      <c r="G945" s="1"/>
      <c r="H945" s="1"/>
      <c r="I945" s="1"/>
    </row>
    <row r="946" spans="2:9" x14ac:dyDescent="0.25">
      <c r="B946" s="1"/>
      <c r="C946" s="1"/>
      <c r="D946" s="1"/>
      <c r="E946" s="1"/>
      <c r="F946" s="1"/>
      <c r="G946" s="1"/>
      <c r="H946" s="1"/>
      <c r="I946" s="1"/>
    </row>
    <row r="947" spans="2:9" x14ac:dyDescent="0.25">
      <c r="B947" s="1"/>
      <c r="C947" s="1"/>
      <c r="D947" s="1"/>
      <c r="E947" s="1"/>
      <c r="F947" s="1"/>
      <c r="G947" s="1"/>
      <c r="H947" s="1"/>
      <c r="I947" s="1"/>
    </row>
    <row r="948" spans="2:9" x14ac:dyDescent="0.25">
      <c r="B948" s="1"/>
      <c r="C948" s="1"/>
      <c r="D948" s="1"/>
      <c r="E948" s="1"/>
      <c r="F948" s="1"/>
      <c r="G948" s="1"/>
      <c r="H948" s="1"/>
      <c r="I948" s="1"/>
    </row>
    <row r="949" spans="2:9" x14ac:dyDescent="0.25">
      <c r="B949" s="1"/>
      <c r="C949" s="1"/>
      <c r="D949" s="1"/>
      <c r="E949" s="1"/>
      <c r="F949" s="1"/>
      <c r="G949" s="1"/>
      <c r="H949" s="1"/>
      <c r="I949" s="1"/>
    </row>
    <row r="950" spans="2:9" x14ac:dyDescent="0.25">
      <c r="B950" s="1"/>
      <c r="C950" s="1"/>
      <c r="D950" s="1"/>
      <c r="E950" s="1"/>
      <c r="F950" s="1"/>
      <c r="G950" s="1"/>
      <c r="H950" s="1"/>
      <c r="I950" s="1"/>
    </row>
    <row r="951" spans="2:9" x14ac:dyDescent="0.25">
      <c r="B951" s="1"/>
      <c r="C951" s="1"/>
      <c r="D951" s="1"/>
      <c r="E951" s="1"/>
      <c r="F951" s="1"/>
      <c r="G951" s="1"/>
      <c r="H951" s="1"/>
      <c r="I951" s="1"/>
    </row>
    <row r="952" spans="2:9" x14ac:dyDescent="0.25">
      <c r="B952" s="1"/>
      <c r="C952" s="1"/>
      <c r="D952" s="1"/>
      <c r="E952" s="1"/>
      <c r="F952" s="1"/>
      <c r="G952" s="1"/>
      <c r="H952" s="1"/>
      <c r="I952" s="1"/>
    </row>
    <row r="953" spans="2:9" x14ac:dyDescent="0.25">
      <c r="B953" s="1"/>
      <c r="C953" s="1"/>
      <c r="D953" s="1"/>
      <c r="E953" s="1"/>
      <c r="F953" s="1"/>
      <c r="G953" s="1"/>
      <c r="H953" s="1"/>
      <c r="I953" s="1"/>
    </row>
    <row r="954" spans="2:9" x14ac:dyDescent="0.25">
      <c r="B954" s="1"/>
      <c r="C954" s="1"/>
      <c r="D954" s="1"/>
      <c r="E954" s="1"/>
      <c r="F954" s="1"/>
      <c r="G954" s="1"/>
      <c r="H954" s="1"/>
      <c r="I954" s="1"/>
    </row>
    <row r="955" spans="2:9" x14ac:dyDescent="0.25">
      <c r="B955" s="1"/>
      <c r="C955" s="1"/>
      <c r="D955" s="1"/>
      <c r="E955" s="1"/>
      <c r="F955" s="1"/>
      <c r="G955" s="1"/>
      <c r="H955" s="1"/>
      <c r="I955" s="1"/>
    </row>
    <row r="956" spans="2:9" x14ac:dyDescent="0.25">
      <c r="B956" s="1"/>
      <c r="C956" s="1"/>
      <c r="D956" s="1"/>
      <c r="E956" s="1"/>
      <c r="F956" s="1"/>
      <c r="G956" s="1"/>
      <c r="H956" s="1"/>
      <c r="I956" s="1"/>
    </row>
    <row r="957" spans="2:9" x14ac:dyDescent="0.25">
      <c r="B957" s="1"/>
      <c r="C957" s="1"/>
      <c r="D957" s="1"/>
      <c r="E957" s="1"/>
      <c r="F957" s="1"/>
      <c r="G957" s="1"/>
      <c r="H957" s="1"/>
      <c r="I957" s="1"/>
    </row>
    <row r="958" spans="2:9" x14ac:dyDescent="0.25">
      <c r="B958" s="1"/>
      <c r="C958" s="1"/>
      <c r="D958" s="1"/>
      <c r="E958" s="1"/>
      <c r="F958" s="1"/>
      <c r="G958" s="1"/>
      <c r="H958" s="1"/>
      <c r="I958" s="1"/>
    </row>
    <row r="959" spans="2:9" x14ac:dyDescent="0.25">
      <c r="B959" s="1"/>
      <c r="C959" s="1"/>
      <c r="D959" s="1"/>
      <c r="E959" s="1"/>
      <c r="F959" s="1"/>
      <c r="G959" s="1"/>
      <c r="H959" s="1"/>
      <c r="I959" s="1"/>
    </row>
    <row r="960" spans="2:9" x14ac:dyDescent="0.25">
      <c r="B960" s="1"/>
      <c r="C960" s="1"/>
      <c r="D960" s="1"/>
      <c r="E960" s="1"/>
      <c r="F960" s="1"/>
      <c r="G960" s="1"/>
      <c r="H960" s="1"/>
      <c r="I960" s="1"/>
    </row>
    <row r="961" spans="2:9" x14ac:dyDescent="0.25">
      <c r="B961" s="1"/>
      <c r="C961" s="1"/>
      <c r="D961" s="1"/>
      <c r="E961" s="1"/>
      <c r="F961" s="1"/>
      <c r="G961" s="1"/>
      <c r="H961" s="1"/>
      <c r="I961" s="1"/>
    </row>
    <row r="962" spans="2:9" x14ac:dyDescent="0.25">
      <c r="B962" s="1"/>
      <c r="C962" s="1"/>
      <c r="D962" s="1"/>
      <c r="E962" s="1"/>
      <c r="F962" s="1"/>
      <c r="G962" s="1"/>
      <c r="H962" s="1"/>
      <c r="I962" s="1"/>
    </row>
    <row r="963" spans="2:9" x14ac:dyDescent="0.25">
      <c r="B963" s="1"/>
      <c r="C963" s="1"/>
      <c r="D963" s="1"/>
      <c r="E963" s="1"/>
      <c r="F963" s="1"/>
      <c r="G963" s="1"/>
      <c r="H963" s="1"/>
      <c r="I963" s="1"/>
    </row>
    <row r="964" spans="2:9" x14ac:dyDescent="0.25">
      <c r="B964" s="1"/>
      <c r="C964" s="1"/>
      <c r="D964" s="1"/>
      <c r="E964" s="1"/>
      <c r="F964" s="1"/>
      <c r="G964" s="1"/>
      <c r="H964" s="1"/>
      <c r="I964" s="1"/>
    </row>
    <row r="965" spans="2:9" x14ac:dyDescent="0.25">
      <c r="B965" s="1"/>
      <c r="C965" s="1"/>
      <c r="D965" s="1"/>
      <c r="E965" s="1"/>
      <c r="F965" s="1"/>
      <c r="G965" s="1"/>
      <c r="H965" s="1"/>
      <c r="I965" s="1"/>
    </row>
    <row r="966" spans="2:9" x14ac:dyDescent="0.25">
      <c r="B966" s="1"/>
      <c r="C966" s="1"/>
      <c r="D966" s="1"/>
      <c r="E966" s="1"/>
      <c r="F966" s="1"/>
      <c r="G966" s="1"/>
      <c r="H966" s="1"/>
      <c r="I966" s="1"/>
    </row>
    <row r="967" spans="2:9" x14ac:dyDescent="0.25">
      <c r="B967" s="1"/>
      <c r="C967" s="1"/>
      <c r="D967" s="1"/>
      <c r="E967" s="1"/>
      <c r="F967" s="1"/>
      <c r="G967" s="1"/>
      <c r="H967" s="1"/>
      <c r="I967" s="1"/>
    </row>
    <row r="968" spans="2:9" x14ac:dyDescent="0.25">
      <c r="B968" s="1"/>
      <c r="C968" s="1"/>
      <c r="D968" s="1"/>
      <c r="E968" s="1"/>
      <c r="F968" s="1"/>
      <c r="G968" s="1"/>
      <c r="H968" s="1"/>
      <c r="I968" s="1"/>
    </row>
    <row r="969" spans="2:9" x14ac:dyDescent="0.25">
      <c r="B969" s="1"/>
      <c r="C969" s="1"/>
      <c r="D969" s="1"/>
      <c r="E969" s="1"/>
      <c r="F969" s="1"/>
      <c r="G969" s="1"/>
      <c r="H969" s="1"/>
      <c r="I969" s="1"/>
    </row>
    <row r="970" spans="2:9" x14ac:dyDescent="0.25">
      <c r="B970" s="1"/>
      <c r="C970" s="1"/>
      <c r="D970" s="1"/>
      <c r="E970" s="1"/>
      <c r="F970" s="1"/>
      <c r="G970" s="1"/>
      <c r="H970" s="1"/>
      <c r="I970" s="1"/>
    </row>
    <row r="971" spans="2:9" x14ac:dyDescent="0.25">
      <c r="B971" s="1"/>
      <c r="C971" s="1"/>
      <c r="D971" s="1"/>
      <c r="E971" s="1"/>
      <c r="F971" s="1"/>
      <c r="G971" s="1"/>
      <c r="H971" s="1"/>
      <c r="I971" s="1"/>
    </row>
    <row r="972" spans="2:9" x14ac:dyDescent="0.25">
      <c r="B972" s="1"/>
      <c r="C972" s="1"/>
      <c r="D972" s="1"/>
      <c r="E972" s="1"/>
      <c r="F972" s="1"/>
      <c r="G972" s="1"/>
      <c r="H972" s="1"/>
      <c r="I972" s="1"/>
    </row>
    <row r="973" spans="2:9" x14ac:dyDescent="0.25">
      <c r="B973" s="1"/>
      <c r="C973" s="1"/>
      <c r="D973" s="1"/>
      <c r="E973" s="1"/>
      <c r="F973" s="1"/>
      <c r="G973" s="1"/>
      <c r="H973" s="1"/>
      <c r="I973" s="1"/>
    </row>
    <row r="974" spans="2:9" x14ac:dyDescent="0.25">
      <c r="B974" s="1"/>
      <c r="C974" s="1"/>
      <c r="D974" s="1"/>
      <c r="E974" s="1"/>
      <c r="F974" s="1"/>
      <c r="G974" s="1"/>
      <c r="H974" s="1"/>
      <c r="I974" s="1"/>
    </row>
    <row r="975" spans="2:9" x14ac:dyDescent="0.25">
      <c r="B975" s="1"/>
      <c r="C975" s="1"/>
      <c r="D975" s="1"/>
      <c r="E975" s="1"/>
      <c r="F975" s="1"/>
      <c r="G975" s="1"/>
      <c r="H975" s="1"/>
      <c r="I975" s="1"/>
    </row>
    <row r="976" spans="2:9" x14ac:dyDescent="0.25">
      <c r="B976" s="1"/>
      <c r="C976" s="1"/>
      <c r="D976" s="1"/>
      <c r="E976" s="1"/>
      <c r="F976" s="1"/>
      <c r="G976" s="1"/>
      <c r="H976" s="1"/>
      <c r="I976" s="1"/>
    </row>
    <row r="977" spans="2:9" x14ac:dyDescent="0.25">
      <c r="B977" s="1"/>
      <c r="C977" s="1"/>
      <c r="D977" s="1"/>
      <c r="E977" s="1"/>
      <c r="F977" s="1"/>
      <c r="G977" s="1"/>
      <c r="H977" s="1"/>
      <c r="I977" s="1"/>
    </row>
    <row r="978" spans="2:9" x14ac:dyDescent="0.25">
      <c r="B978" s="1"/>
      <c r="C978" s="1"/>
      <c r="D978" s="1"/>
      <c r="E978" s="1"/>
      <c r="F978" s="1"/>
      <c r="G978" s="1"/>
      <c r="H978" s="1"/>
      <c r="I978" s="1"/>
    </row>
    <row r="979" spans="2:9" x14ac:dyDescent="0.25">
      <c r="B979" s="1"/>
      <c r="C979" s="1"/>
      <c r="D979" s="1"/>
      <c r="E979" s="1"/>
      <c r="F979" s="1"/>
      <c r="G979" s="1"/>
      <c r="H979" s="1"/>
      <c r="I979" s="1"/>
    </row>
    <row r="980" spans="2:9" x14ac:dyDescent="0.25">
      <c r="B980" s="1"/>
      <c r="C980" s="1"/>
      <c r="D980" s="1"/>
      <c r="E980" s="1"/>
      <c r="F980" s="1"/>
      <c r="G980" s="1"/>
      <c r="H980" s="1"/>
      <c r="I980" s="1"/>
    </row>
    <row r="981" spans="2:9" x14ac:dyDescent="0.25">
      <c r="B981" s="1"/>
      <c r="C981" s="1"/>
      <c r="D981" s="1"/>
      <c r="E981" s="1"/>
      <c r="F981" s="1"/>
      <c r="G981" s="1"/>
      <c r="H981" s="1"/>
      <c r="I981" s="1"/>
    </row>
    <row r="982" spans="2:9" x14ac:dyDescent="0.25">
      <c r="B982" s="1"/>
      <c r="C982" s="1"/>
      <c r="D982" s="1"/>
      <c r="E982" s="1"/>
      <c r="F982" s="1"/>
      <c r="G982" s="1"/>
      <c r="H982" s="1"/>
      <c r="I982" s="1"/>
    </row>
    <row r="983" spans="2:9" x14ac:dyDescent="0.25">
      <c r="B983" s="1"/>
      <c r="C983" s="1"/>
      <c r="D983" s="1"/>
      <c r="E983" s="1"/>
      <c r="F983" s="1"/>
      <c r="G983" s="1"/>
      <c r="H983" s="1"/>
      <c r="I983" s="1"/>
    </row>
    <row r="984" spans="2:9" x14ac:dyDescent="0.25">
      <c r="B984" s="1"/>
      <c r="C984" s="1"/>
      <c r="D984" s="1"/>
      <c r="E984" s="1"/>
      <c r="F984" s="1"/>
      <c r="G984" s="1"/>
      <c r="H984" s="1"/>
      <c r="I984" s="1"/>
    </row>
    <row r="985" spans="2:9" x14ac:dyDescent="0.25">
      <c r="B985" s="1"/>
      <c r="C985" s="1"/>
      <c r="D985" s="1"/>
      <c r="E985" s="1"/>
      <c r="F985" s="1"/>
      <c r="G985" s="1"/>
      <c r="H985" s="1"/>
      <c r="I985" s="1"/>
    </row>
    <row r="986" spans="2:9" x14ac:dyDescent="0.25">
      <c r="B986" s="1"/>
      <c r="C986" s="1"/>
      <c r="D986" s="1"/>
      <c r="E986" s="1"/>
      <c r="F986" s="1"/>
      <c r="G986" s="1"/>
      <c r="H986" s="1"/>
      <c r="I986" s="1"/>
    </row>
    <row r="987" spans="2:9" x14ac:dyDescent="0.25">
      <c r="B987" s="1"/>
      <c r="C987" s="1"/>
      <c r="D987" s="1"/>
      <c r="E987" s="1"/>
      <c r="F987" s="1"/>
      <c r="G987" s="1"/>
      <c r="H987" s="1"/>
      <c r="I987" s="1"/>
    </row>
    <row r="988" spans="2:9" x14ac:dyDescent="0.25">
      <c r="B988" s="1"/>
      <c r="C988" s="1"/>
      <c r="D988" s="1"/>
      <c r="E988" s="1"/>
      <c r="F988" s="1"/>
      <c r="G988" s="1"/>
      <c r="H988" s="1"/>
      <c r="I988" s="1"/>
    </row>
    <row r="989" spans="2:9" x14ac:dyDescent="0.25">
      <c r="B989" s="1"/>
      <c r="C989" s="1"/>
      <c r="D989" s="1"/>
      <c r="E989" s="1"/>
      <c r="F989" s="1"/>
      <c r="G989" s="1"/>
      <c r="H989" s="1"/>
      <c r="I989" s="1"/>
    </row>
    <row r="990" spans="2:9" x14ac:dyDescent="0.25">
      <c r="B990" s="1"/>
      <c r="C990" s="1"/>
      <c r="D990" s="1"/>
      <c r="E990" s="1"/>
      <c r="F990" s="1"/>
      <c r="G990" s="1"/>
      <c r="H990" s="1"/>
      <c r="I990" s="1"/>
    </row>
    <row r="991" spans="2:9" x14ac:dyDescent="0.25">
      <c r="B991" s="1"/>
      <c r="C991" s="1"/>
      <c r="D991" s="1"/>
      <c r="E991" s="1"/>
      <c r="F991" s="1"/>
      <c r="G991" s="1"/>
      <c r="H991" s="1"/>
      <c r="I991" s="1"/>
    </row>
    <row r="992" spans="2:9" x14ac:dyDescent="0.25">
      <c r="B992" s="1"/>
      <c r="C992" s="1"/>
      <c r="D992" s="1"/>
      <c r="E992" s="1"/>
      <c r="F992" s="1"/>
      <c r="G992" s="1"/>
      <c r="H992" s="1"/>
      <c r="I992" s="1"/>
    </row>
    <row r="993" spans="2:9" x14ac:dyDescent="0.25">
      <c r="B993" s="1"/>
      <c r="C993" s="1"/>
      <c r="D993" s="1"/>
      <c r="E993" s="1"/>
      <c r="F993" s="1"/>
      <c r="G993" s="1"/>
      <c r="H993" s="1"/>
      <c r="I993" s="1"/>
    </row>
    <row r="994" spans="2:9" x14ac:dyDescent="0.25">
      <c r="B994" s="1"/>
      <c r="C994" s="1"/>
      <c r="D994" s="1"/>
      <c r="E994" s="1"/>
      <c r="F994" s="1"/>
      <c r="G994" s="1"/>
      <c r="H994" s="1"/>
      <c r="I994" s="1"/>
    </row>
    <row r="995" spans="2:9" x14ac:dyDescent="0.25">
      <c r="B995" s="1"/>
      <c r="C995" s="1"/>
      <c r="D995" s="1"/>
      <c r="E995" s="1"/>
      <c r="F995" s="1"/>
      <c r="G995" s="1"/>
      <c r="H995" s="1"/>
      <c r="I995" s="1"/>
    </row>
    <row r="996" spans="2:9" x14ac:dyDescent="0.25">
      <c r="B996" s="1"/>
      <c r="C996" s="1"/>
      <c r="D996" s="1"/>
      <c r="E996" s="1"/>
      <c r="F996" s="1"/>
      <c r="G996" s="1"/>
      <c r="H996" s="1"/>
      <c r="I996" s="1"/>
    </row>
  </sheetData>
  <mergeCells count="5">
    <mergeCell ref="A2:I2"/>
    <mergeCell ref="A11:I11"/>
    <mergeCell ref="A20:I20"/>
    <mergeCell ref="A29:I29"/>
    <mergeCell ref="A38:I38"/>
  </mergeCells>
  <conditionalFormatting sqref="B4:I996">
    <cfRule type="colorScale" priority="1">
      <colorScale>
        <cfvo type="percent" val="0"/>
        <cfvo type="percent" val="50"/>
        <cfvo type="percent" val="100"/>
        <color rgb="FFE06666"/>
        <color rgb="FFFFD966"/>
        <color rgb="FF93C47D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1000"/>
  <sheetViews>
    <sheetView topLeftCell="A10" workbookViewId="0">
      <selection activeCell="M22" sqref="M22"/>
    </sheetView>
  </sheetViews>
  <sheetFormatPr defaultColWidth="12.6640625" defaultRowHeight="13.2" x14ac:dyDescent="0.25"/>
  <cols>
    <col min="1" max="1" width="15.88671875" customWidth="1"/>
    <col min="2" max="8" width="11" customWidth="1"/>
    <col min="9" max="9" width="11.88671875" customWidth="1"/>
    <col min="10" max="10" width="17.88671875" customWidth="1"/>
    <col min="11" max="11" width="12.109375" customWidth="1"/>
    <col min="12" max="12" width="3.33203125" customWidth="1"/>
    <col min="13" max="13" width="17.5546875" customWidth="1"/>
    <col min="14" max="15" width="11" customWidth="1"/>
    <col min="16" max="16" width="11.88671875" customWidth="1"/>
    <col min="17" max="20" width="11" customWidth="1"/>
  </cols>
  <sheetData>
    <row r="1" spans="1:20" ht="126" x14ac:dyDescent="0.25">
      <c r="A1" s="25" t="s">
        <v>0</v>
      </c>
      <c r="B1" s="26"/>
      <c r="C1" s="26"/>
      <c r="D1" s="26"/>
      <c r="E1" s="26"/>
      <c r="F1" s="26"/>
      <c r="G1" s="26"/>
      <c r="H1" s="26"/>
      <c r="I1" s="26"/>
      <c r="J1" s="25"/>
      <c r="K1" s="25"/>
      <c r="L1" s="25"/>
      <c r="M1" s="25"/>
      <c r="N1" s="25"/>
      <c r="O1" s="25"/>
      <c r="P1" s="25"/>
      <c r="Q1" s="25"/>
      <c r="R1" s="25"/>
      <c r="S1" s="25"/>
      <c r="T1" s="31"/>
    </row>
    <row r="2" spans="1:20" ht="14.4" x14ac:dyDescent="0.25">
      <c r="A2" s="37" t="s">
        <v>1</v>
      </c>
      <c r="B2" s="37"/>
      <c r="C2" s="37"/>
      <c r="D2" s="37"/>
      <c r="E2" s="37"/>
      <c r="F2" s="37"/>
      <c r="G2" s="37"/>
      <c r="H2" s="37"/>
      <c r="I2" s="37"/>
      <c r="J2" s="21"/>
      <c r="K2" s="21"/>
      <c r="L2" s="21"/>
      <c r="M2" s="15"/>
      <c r="N2" s="15" t="s">
        <v>2</v>
      </c>
      <c r="O2" s="15" t="s">
        <v>3</v>
      </c>
      <c r="P2" s="15" t="s">
        <v>4</v>
      </c>
      <c r="Q2" s="15" t="s">
        <v>5</v>
      </c>
      <c r="R2" s="15" t="s">
        <v>6</v>
      </c>
      <c r="S2" s="15" t="s">
        <v>7</v>
      </c>
      <c r="T2" s="16" t="s">
        <v>8</v>
      </c>
    </row>
    <row r="3" spans="1:20" ht="14.4" x14ac:dyDescent="0.25">
      <c r="A3" s="27"/>
      <c r="B3" s="28" t="s">
        <v>9</v>
      </c>
      <c r="C3" s="28" t="s">
        <v>2</v>
      </c>
      <c r="D3" s="28" t="s">
        <v>3</v>
      </c>
      <c r="E3" s="28" t="s">
        <v>7</v>
      </c>
      <c r="F3" s="28" t="s">
        <v>8</v>
      </c>
      <c r="G3" s="28" t="s">
        <v>5</v>
      </c>
      <c r="H3" s="28" t="s">
        <v>6</v>
      </c>
      <c r="I3" s="28" t="s">
        <v>10</v>
      </c>
      <c r="J3" s="21"/>
      <c r="K3" s="21"/>
      <c r="L3" s="21"/>
      <c r="M3" s="29" t="s">
        <v>11</v>
      </c>
      <c r="N3" s="30">
        <v>2</v>
      </c>
      <c r="O3" s="30">
        <v>2</v>
      </c>
      <c r="P3" s="30">
        <v>3</v>
      </c>
      <c r="Q3" s="30">
        <v>2</v>
      </c>
      <c r="R3" s="30">
        <v>3</v>
      </c>
      <c r="S3" s="30">
        <v>3</v>
      </c>
      <c r="T3" s="30">
        <v>2</v>
      </c>
    </row>
    <row r="4" spans="1:20" ht="14.4" x14ac:dyDescent="0.25">
      <c r="A4" s="29" t="s">
        <v>9</v>
      </c>
      <c r="B4" s="24" t="s">
        <v>12</v>
      </c>
      <c r="C4" s="24">
        <v>1</v>
      </c>
      <c r="D4" s="24">
        <v>1</v>
      </c>
      <c r="E4" s="24">
        <v>0.18948000000000001</v>
      </c>
      <c r="F4" s="24">
        <v>0.97138000000000002</v>
      </c>
      <c r="G4" s="24">
        <v>1</v>
      </c>
      <c r="H4" s="24">
        <v>1</v>
      </c>
      <c r="I4" s="24">
        <f t="shared" ref="I4:I10" si="0">AVERAGE(B4:H4)</f>
        <v>0.86014333333333326</v>
      </c>
      <c r="J4" s="21" t="s">
        <v>13</v>
      </c>
      <c r="K4" s="24">
        <f>VARP(I4:I10)</f>
        <v>0.10442418338888883</v>
      </c>
      <c r="L4" s="21"/>
      <c r="M4" s="29" t="s">
        <v>14</v>
      </c>
      <c r="N4" s="30">
        <v>6</v>
      </c>
      <c r="O4" s="30">
        <v>7</v>
      </c>
      <c r="P4" s="30">
        <v>5</v>
      </c>
      <c r="Q4" s="30">
        <v>6</v>
      </c>
      <c r="R4" s="30">
        <v>6</v>
      </c>
      <c r="S4" s="30">
        <v>7</v>
      </c>
      <c r="T4" s="30">
        <v>4</v>
      </c>
    </row>
    <row r="5" spans="1:20" ht="14.4" x14ac:dyDescent="0.25">
      <c r="A5" s="29" t="s">
        <v>2</v>
      </c>
      <c r="B5" s="24">
        <v>0</v>
      </c>
      <c r="C5" s="24" t="s">
        <v>12</v>
      </c>
      <c r="D5" s="24">
        <v>1</v>
      </c>
      <c r="E5" s="24">
        <v>0</v>
      </c>
      <c r="F5" s="24">
        <v>0.99980999999999998</v>
      </c>
      <c r="G5" s="24">
        <v>1</v>
      </c>
      <c r="H5" s="24">
        <v>1</v>
      </c>
      <c r="I5" s="24">
        <f t="shared" si="0"/>
        <v>0.66663499999999998</v>
      </c>
      <c r="J5" s="21" t="s">
        <v>15</v>
      </c>
      <c r="K5" s="24">
        <f t="array" ref="K5">AVERAGE(IF(ISNUMBER(B4:H10), ABS(B4:H10-0.5), ""))</f>
        <v>0.47069714285714293</v>
      </c>
      <c r="L5" s="21"/>
      <c r="M5" s="29" t="s">
        <v>16</v>
      </c>
      <c r="N5" s="30">
        <v>1</v>
      </c>
      <c r="O5" s="30"/>
      <c r="P5" s="30"/>
      <c r="Q5" s="30"/>
      <c r="R5" s="30"/>
      <c r="S5" s="30"/>
      <c r="T5" s="30"/>
    </row>
    <row r="6" spans="1:20" ht="14.4" x14ac:dyDescent="0.25">
      <c r="A6" s="29" t="s">
        <v>3</v>
      </c>
      <c r="B6" s="24">
        <v>0</v>
      </c>
      <c r="C6" s="24">
        <v>0</v>
      </c>
      <c r="D6" s="24" t="s">
        <v>12</v>
      </c>
      <c r="E6" s="24">
        <v>0</v>
      </c>
      <c r="F6" s="24">
        <v>0.99856999999999996</v>
      </c>
      <c r="G6" s="24">
        <v>1</v>
      </c>
      <c r="H6" s="24">
        <v>1</v>
      </c>
      <c r="I6" s="24">
        <f t="shared" si="0"/>
        <v>0.49976166666666666</v>
      </c>
      <c r="J6" s="21" t="s">
        <v>17</v>
      </c>
      <c r="K6" s="24">
        <f>MAX(I4:I10)-MIN(I4:I10)</f>
        <v>0.89479666666666668</v>
      </c>
      <c r="L6" s="21"/>
      <c r="M6" s="29" t="s">
        <v>18</v>
      </c>
      <c r="N6" s="30">
        <v>2</v>
      </c>
      <c r="O6" s="30">
        <v>2</v>
      </c>
      <c r="P6" s="30">
        <v>1</v>
      </c>
      <c r="Q6" s="30">
        <v>3</v>
      </c>
      <c r="R6" s="30">
        <v>3</v>
      </c>
      <c r="S6" s="30">
        <v>2</v>
      </c>
      <c r="T6" s="30">
        <v>2</v>
      </c>
    </row>
    <row r="7" spans="1:20" ht="14.4" x14ac:dyDescent="0.25">
      <c r="A7" s="29" t="s">
        <v>7</v>
      </c>
      <c r="B7" s="24">
        <v>0.81052000000000002</v>
      </c>
      <c r="C7" s="24">
        <v>1</v>
      </c>
      <c r="D7" s="24">
        <v>1</v>
      </c>
      <c r="E7" s="24" t="s">
        <v>12</v>
      </c>
      <c r="F7" s="24">
        <v>0.98414000000000001</v>
      </c>
      <c r="G7" s="24">
        <v>1</v>
      </c>
      <c r="H7" s="24">
        <v>1</v>
      </c>
      <c r="I7" s="24">
        <f t="shared" si="0"/>
        <v>0.96577666666666673</v>
      </c>
      <c r="J7" s="21"/>
      <c r="K7" s="21"/>
      <c r="L7" s="21"/>
      <c r="M7" s="29" t="s">
        <v>19</v>
      </c>
      <c r="N7" s="30"/>
      <c r="O7" s="30"/>
      <c r="P7" s="30">
        <v>0.1</v>
      </c>
      <c r="Q7" s="30"/>
      <c r="R7" s="30"/>
      <c r="S7" s="30"/>
      <c r="T7" s="30">
        <v>0.1</v>
      </c>
    </row>
    <row r="8" spans="1:20" ht="14.4" x14ac:dyDescent="0.25">
      <c r="A8" s="29" t="s">
        <v>8</v>
      </c>
      <c r="B8" s="24">
        <v>2.862E-2</v>
      </c>
      <c r="C8" s="24">
        <v>1.9000000000000001E-4</v>
      </c>
      <c r="D8" s="24">
        <v>1.4300000000000001E-3</v>
      </c>
      <c r="E8" s="24">
        <v>1.5859999999999999E-2</v>
      </c>
      <c r="F8" s="24" t="s">
        <v>12</v>
      </c>
      <c r="G8" s="24">
        <v>0.18903</v>
      </c>
      <c r="H8" s="24">
        <v>0.19075</v>
      </c>
      <c r="I8" s="24">
        <f t="shared" si="0"/>
        <v>7.0980000000000001E-2</v>
      </c>
      <c r="J8" s="21"/>
      <c r="K8" s="21"/>
      <c r="L8" s="21"/>
      <c r="M8" s="29" t="s">
        <v>20</v>
      </c>
      <c r="N8" s="30"/>
      <c r="O8" s="30">
        <v>0.5</v>
      </c>
      <c r="P8" s="30"/>
      <c r="Q8" s="30"/>
      <c r="R8" s="30"/>
      <c r="S8" s="30"/>
      <c r="T8" s="30"/>
    </row>
    <row r="9" spans="1:20" ht="14.4" x14ac:dyDescent="0.25">
      <c r="A9" s="29" t="s">
        <v>5</v>
      </c>
      <c r="B9" s="24">
        <v>0</v>
      </c>
      <c r="C9" s="24">
        <v>0</v>
      </c>
      <c r="D9" s="24">
        <v>0</v>
      </c>
      <c r="E9" s="24">
        <v>0</v>
      </c>
      <c r="F9" s="24">
        <v>0.81096999999999997</v>
      </c>
      <c r="G9" s="24" t="s">
        <v>12</v>
      </c>
      <c r="H9" s="24">
        <v>0</v>
      </c>
      <c r="I9" s="24">
        <f t="shared" si="0"/>
        <v>0.13516166666666665</v>
      </c>
      <c r="J9" s="21"/>
      <c r="K9" s="21"/>
      <c r="L9" s="21"/>
      <c r="M9" s="29" t="s">
        <v>21</v>
      </c>
      <c r="N9" s="30" t="s">
        <v>27</v>
      </c>
      <c r="O9" s="30"/>
      <c r="P9" s="30"/>
      <c r="Q9" s="30"/>
      <c r="R9" s="30"/>
      <c r="S9" s="30"/>
      <c r="T9" s="30"/>
    </row>
    <row r="10" spans="1:20" ht="14.4" x14ac:dyDescent="0.25">
      <c r="A10" s="21" t="s">
        <v>6</v>
      </c>
      <c r="B10" s="22">
        <v>0</v>
      </c>
      <c r="C10" s="22">
        <v>0</v>
      </c>
      <c r="D10" s="22">
        <v>0</v>
      </c>
      <c r="E10" s="22">
        <v>0</v>
      </c>
      <c r="F10" s="22">
        <v>0.80925000000000002</v>
      </c>
      <c r="G10" s="22">
        <v>1</v>
      </c>
      <c r="H10" s="22" t="s">
        <v>12</v>
      </c>
      <c r="I10" s="22">
        <f t="shared" si="0"/>
        <v>0.30154166666666665</v>
      </c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3"/>
    </row>
    <row r="11" spans="1:20" ht="14.4" x14ac:dyDescent="0.25">
      <c r="A11" s="37" t="s">
        <v>23</v>
      </c>
      <c r="B11" s="37"/>
      <c r="C11" s="37"/>
      <c r="D11" s="37"/>
      <c r="E11" s="37"/>
      <c r="F11" s="37"/>
      <c r="G11" s="37"/>
      <c r="H11" s="37"/>
      <c r="I11" s="37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3"/>
    </row>
    <row r="12" spans="1:20" ht="14.4" x14ac:dyDescent="0.25">
      <c r="A12" s="27"/>
      <c r="B12" s="28" t="s">
        <v>9</v>
      </c>
      <c r="C12" s="28" t="s">
        <v>2</v>
      </c>
      <c r="D12" s="28" t="s">
        <v>3</v>
      </c>
      <c r="E12" s="28" t="s">
        <v>7</v>
      </c>
      <c r="F12" s="28" t="s">
        <v>8</v>
      </c>
      <c r="G12" s="28" t="s">
        <v>5</v>
      </c>
      <c r="H12" s="28" t="s">
        <v>6</v>
      </c>
      <c r="I12" s="28" t="s">
        <v>10</v>
      </c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3"/>
    </row>
    <row r="13" spans="1:20" ht="14.4" x14ac:dyDescent="0.25">
      <c r="A13" s="29" t="s">
        <v>9</v>
      </c>
      <c r="B13" s="24" t="s">
        <v>12</v>
      </c>
      <c r="C13" s="24">
        <v>1</v>
      </c>
      <c r="D13" s="24">
        <v>1</v>
      </c>
      <c r="E13" s="24">
        <v>0.19747000000000001</v>
      </c>
      <c r="F13" s="24">
        <v>0.99460999999999999</v>
      </c>
      <c r="G13" s="24">
        <v>1</v>
      </c>
      <c r="H13" s="24">
        <v>0.80042999999999997</v>
      </c>
      <c r="I13" s="24">
        <f t="shared" ref="I13:I19" si="1">AVERAGE(B13:D13,G13:H13)</f>
        <v>0.95010749999999999</v>
      </c>
      <c r="J13" s="21" t="s">
        <v>13</v>
      </c>
      <c r="K13" s="24">
        <f>VARP(I13:I19)</f>
        <v>0.12503454345505102</v>
      </c>
      <c r="L13" s="21"/>
      <c r="M13" s="21"/>
      <c r="N13" s="21"/>
      <c r="O13" s="21"/>
      <c r="P13" s="21"/>
      <c r="Q13" s="21"/>
      <c r="R13" s="21"/>
      <c r="S13" s="21"/>
      <c r="T13" s="23"/>
    </row>
    <row r="14" spans="1:20" ht="14.4" x14ac:dyDescent="0.25">
      <c r="A14" s="29" t="s">
        <v>2</v>
      </c>
      <c r="B14" s="24">
        <v>0</v>
      </c>
      <c r="C14" s="24" t="s">
        <v>12</v>
      </c>
      <c r="D14" s="24">
        <v>1</v>
      </c>
      <c r="E14" s="24">
        <v>1.529E-2</v>
      </c>
      <c r="F14" s="24">
        <v>1</v>
      </c>
      <c r="G14" s="24">
        <v>1</v>
      </c>
      <c r="H14" s="24">
        <v>0.60865999999999998</v>
      </c>
      <c r="I14" s="24">
        <f t="shared" si="1"/>
        <v>0.65216499999999999</v>
      </c>
      <c r="J14" s="21" t="s">
        <v>15</v>
      </c>
      <c r="K14" s="24">
        <f t="array" ref="K14">AVERAGE(IF(ISNUMBER(B13:H19), ABS(B13:H19-0.5), ""))</f>
        <v>0.44453285714285729</v>
      </c>
      <c r="L14" s="21"/>
      <c r="M14" s="21"/>
      <c r="N14" s="21"/>
      <c r="O14" s="21"/>
      <c r="P14" s="21"/>
      <c r="Q14" s="21"/>
      <c r="R14" s="21"/>
      <c r="S14" s="21"/>
      <c r="T14" s="23"/>
    </row>
    <row r="15" spans="1:20" ht="14.4" x14ac:dyDescent="0.25">
      <c r="A15" s="29" t="s">
        <v>3</v>
      </c>
      <c r="B15" s="24">
        <v>0</v>
      </c>
      <c r="C15" s="24">
        <v>0</v>
      </c>
      <c r="D15" s="24" t="s">
        <v>12</v>
      </c>
      <c r="E15" s="24">
        <v>1.511E-2</v>
      </c>
      <c r="F15" s="24">
        <v>0.99995000000000001</v>
      </c>
      <c r="G15" s="24">
        <v>0.95221</v>
      </c>
      <c r="H15" s="24">
        <v>1</v>
      </c>
      <c r="I15" s="24">
        <f t="shared" si="1"/>
        <v>0.4880525</v>
      </c>
      <c r="J15" s="21" t="s">
        <v>17</v>
      </c>
      <c r="K15" s="24">
        <f>MAX(I13:I19)-MIN(I13:I19)</f>
        <v>0.92546600000000001</v>
      </c>
      <c r="L15" s="21"/>
      <c r="M15" s="21"/>
      <c r="N15" s="21"/>
      <c r="O15" s="21"/>
      <c r="P15" s="21"/>
      <c r="Q15" s="21"/>
      <c r="R15" s="21"/>
      <c r="S15" s="21"/>
      <c r="T15" s="23"/>
    </row>
    <row r="16" spans="1:20" ht="14.4" x14ac:dyDescent="0.25">
      <c r="A16" s="29" t="s">
        <v>7</v>
      </c>
      <c r="B16" s="24">
        <v>0.80252999999999997</v>
      </c>
      <c r="C16" s="24">
        <v>0.98470999999999997</v>
      </c>
      <c r="D16" s="24">
        <v>0.98489000000000004</v>
      </c>
      <c r="E16" s="24" t="s">
        <v>12</v>
      </c>
      <c r="F16" s="24">
        <v>0.99639</v>
      </c>
      <c r="G16" s="24">
        <v>1</v>
      </c>
      <c r="H16" s="24">
        <v>1</v>
      </c>
      <c r="I16" s="24">
        <f t="shared" si="1"/>
        <v>0.954426</v>
      </c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3"/>
    </row>
    <row r="17" spans="1:20" ht="14.4" x14ac:dyDescent="0.25">
      <c r="A17" s="29" t="s">
        <v>8</v>
      </c>
      <c r="B17" s="24">
        <v>5.3899999999999998E-3</v>
      </c>
      <c r="C17" s="24">
        <v>0</v>
      </c>
      <c r="D17" s="24">
        <v>5.0000000000000002E-5</v>
      </c>
      <c r="E17" s="24">
        <v>3.6099999999999999E-3</v>
      </c>
      <c r="F17" s="24" t="s">
        <v>12</v>
      </c>
      <c r="G17" s="24">
        <v>0.11592</v>
      </c>
      <c r="H17" s="24">
        <v>0.10521999999999999</v>
      </c>
      <c r="I17" s="24">
        <f t="shared" si="1"/>
        <v>4.5316000000000002E-2</v>
      </c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3"/>
    </row>
    <row r="18" spans="1:20" ht="14.4" x14ac:dyDescent="0.25">
      <c r="A18" s="29" t="s">
        <v>5</v>
      </c>
      <c r="B18" s="24">
        <v>0</v>
      </c>
      <c r="C18" s="24">
        <v>0</v>
      </c>
      <c r="D18" s="24">
        <v>4.7789999999999999E-2</v>
      </c>
      <c r="E18" s="24">
        <v>0</v>
      </c>
      <c r="F18" s="24">
        <v>0.88407999999999998</v>
      </c>
      <c r="G18" s="24" t="s">
        <v>12</v>
      </c>
      <c r="H18" s="24">
        <v>6.8049999999999999E-2</v>
      </c>
      <c r="I18" s="24">
        <f t="shared" si="1"/>
        <v>2.896E-2</v>
      </c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3"/>
    </row>
    <row r="19" spans="1:20" ht="14.4" x14ac:dyDescent="0.25">
      <c r="A19" s="21" t="s">
        <v>6</v>
      </c>
      <c r="B19" s="22">
        <v>0.19957</v>
      </c>
      <c r="C19" s="22">
        <v>0.39134000000000002</v>
      </c>
      <c r="D19" s="22">
        <v>0</v>
      </c>
      <c r="E19" s="22">
        <v>0</v>
      </c>
      <c r="F19" s="22">
        <v>0.89478000000000002</v>
      </c>
      <c r="G19" s="22">
        <v>0.93194999999999995</v>
      </c>
      <c r="H19" s="22" t="s">
        <v>12</v>
      </c>
      <c r="I19" s="22">
        <f t="shared" si="1"/>
        <v>0.38071500000000003</v>
      </c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3"/>
    </row>
    <row r="20" spans="1:20" ht="14.4" x14ac:dyDescent="0.25">
      <c r="A20" s="37" t="s">
        <v>24</v>
      </c>
      <c r="B20" s="37"/>
      <c r="C20" s="37"/>
      <c r="D20" s="37"/>
      <c r="E20" s="37"/>
      <c r="F20" s="37"/>
      <c r="G20" s="37"/>
      <c r="H20" s="37"/>
      <c r="I20" s="37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3"/>
    </row>
    <row r="21" spans="1:20" ht="14.4" x14ac:dyDescent="0.25">
      <c r="A21" s="27"/>
      <c r="B21" s="28" t="s">
        <v>9</v>
      </c>
      <c r="C21" s="28" t="s">
        <v>2</v>
      </c>
      <c r="D21" s="28" t="s">
        <v>3</v>
      </c>
      <c r="E21" s="28" t="s">
        <v>7</v>
      </c>
      <c r="F21" s="28" t="s">
        <v>8</v>
      </c>
      <c r="G21" s="28" t="s">
        <v>5</v>
      </c>
      <c r="H21" s="28" t="s">
        <v>6</v>
      </c>
      <c r="I21" s="28" t="s">
        <v>10</v>
      </c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3"/>
    </row>
    <row r="22" spans="1:20" ht="14.4" x14ac:dyDescent="0.25">
      <c r="A22" s="29" t="s">
        <v>9</v>
      </c>
      <c r="B22" s="24" t="s">
        <v>12</v>
      </c>
      <c r="C22" s="24">
        <v>0.98040000000000005</v>
      </c>
      <c r="D22" s="24">
        <v>0.98007</v>
      </c>
      <c r="E22" s="24">
        <v>0.25883</v>
      </c>
      <c r="F22" s="24">
        <v>0.99694000000000005</v>
      </c>
      <c r="G22" s="24">
        <v>0.79556000000000004</v>
      </c>
      <c r="H22" s="24">
        <v>0.67630000000000001</v>
      </c>
      <c r="I22" s="24">
        <f t="shared" ref="I22:I28" si="2">AVERAGE(B22:D22,G22:H22)</f>
        <v>0.85808249999999997</v>
      </c>
      <c r="J22" s="21" t="s">
        <v>13</v>
      </c>
      <c r="K22" s="24">
        <f>VARP(I22:I28)</f>
        <v>9.8441842183642825E-2</v>
      </c>
      <c r="L22" s="21"/>
      <c r="M22" s="21"/>
      <c r="N22" s="21"/>
      <c r="O22" s="21"/>
      <c r="P22" s="21"/>
      <c r="Q22" s="21"/>
      <c r="R22" s="21"/>
      <c r="S22" s="21"/>
      <c r="T22" s="23"/>
    </row>
    <row r="23" spans="1:20" ht="14.4" x14ac:dyDescent="0.25">
      <c r="A23" s="29" t="s">
        <v>2</v>
      </c>
      <c r="B23" s="24">
        <v>1.9599999999999999E-2</v>
      </c>
      <c r="C23" s="24" t="s">
        <v>12</v>
      </c>
      <c r="D23" s="24">
        <v>0.99997999999999998</v>
      </c>
      <c r="E23" s="24">
        <v>7.4599999999999996E-3</v>
      </c>
      <c r="F23" s="24">
        <v>1</v>
      </c>
      <c r="G23" s="24">
        <v>0.99987000000000004</v>
      </c>
      <c r="H23" s="24">
        <v>0.43112</v>
      </c>
      <c r="I23" s="24">
        <f t="shared" si="2"/>
        <v>0.61264249999999998</v>
      </c>
      <c r="J23" s="21" t="s">
        <v>15</v>
      </c>
      <c r="K23" s="24">
        <f t="array" ref="K23">AVERAGE(IF(ISNUMBER(B22:H28), ABS(B22:H28-0.5), ""))</f>
        <v>0.40800904761904744</v>
      </c>
      <c r="L23" s="21"/>
      <c r="M23" s="21"/>
      <c r="N23" s="21"/>
      <c r="O23" s="21"/>
      <c r="P23" s="21"/>
      <c r="Q23" s="21"/>
      <c r="R23" s="21"/>
      <c r="S23" s="21"/>
      <c r="T23" s="23"/>
    </row>
    <row r="24" spans="1:20" ht="14.4" x14ac:dyDescent="0.25">
      <c r="A24" s="29" t="s">
        <v>3</v>
      </c>
      <c r="B24" s="24">
        <v>1.993E-2</v>
      </c>
      <c r="C24" s="24">
        <v>2.0000000000000002E-5</v>
      </c>
      <c r="D24" s="24" t="s">
        <v>12</v>
      </c>
      <c r="E24" s="24">
        <v>7.4999999999999997E-3</v>
      </c>
      <c r="F24" s="24">
        <v>1</v>
      </c>
      <c r="G24" s="24">
        <v>0.54659000000000002</v>
      </c>
      <c r="H24" s="24">
        <v>0.95216000000000001</v>
      </c>
      <c r="I24" s="24">
        <f t="shared" si="2"/>
        <v>0.37967499999999998</v>
      </c>
      <c r="J24" s="21" t="s">
        <v>17</v>
      </c>
      <c r="K24" s="24">
        <f>MAX(I22:I28)-MIN(I22:I28)</f>
        <v>0.92976400000000003</v>
      </c>
      <c r="L24" s="21"/>
      <c r="M24" s="21"/>
      <c r="N24" s="21"/>
      <c r="O24" s="21"/>
      <c r="P24" s="21"/>
      <c r="Q24" s="21"/>
      <c r="R24" s="21"/>
      <c r="S24" s="21"/>
      <c r="T24" s="23"/>
    </row>
    <row r="25" spans="1:20" ht="14.4" x14ac:dyDescent="0.25">
      <c r="A25" s="29" t="s">
        <v>7</v>
      </c>
      <c r="B25" s="24">
        <v>0.74117</v>
      </c>
      <c r="C25" s="24">
        <v>0.99253999999999998</v>
      </c>
      <c r="D25" s="24">
        <v>0.99250000000000005</v>
      </c>
      <c r="E25" s="24" t="s">
        <v>12</v>
      </c>
      <c r="F25" s="24">
        <v>0.99922</v>
      </c>
      <c r="G25" s="24">
        <v>1</v>
      </c>
      <c r="H25" s="24">
        <v>0.99039999999999995</v>
      </c>
      <c r="I25" s="24">
        <f t="shared" si="2"/>
        <v>0.94332199999999999</v>
      </c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3"/>
    </row>
    <row r="26" spans="1:20" ht="14.4" x14ac:dyDescent="0.25">
      <c r="A26" s="29" t="s">
        <v>8</v>
      </c>
      <c r="B26" s="24">
        <v>3.0599999999999998E-3</v>
      </c>
      <c r="C26" s="24">
        <v>0</v>
      </c>
      <c r="D26" s="24">
        <v>0</v>
      </c>
      <c r="E26" s="24">
        <v>7.7999999999999999E-4</v>
      </c>
      <c r="F26" s="24" t="s">
        <v>12</v>
      </c>
      <c r="G26" s="24">
        <v>1.7440000000000001E-2</v>
      </c>
      <c r="H26" s="24">
        <v>4.7289999999999999E-2</v>
      </c>
      <c r="I26" s="24">
        <f t="shared" si="2"/>
        <v>1.3558000000000001E-2</v>
      </c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3"/>
    </row>
    <row r="27" spans="1:20" ht="14.4" x14ac:dyDescent="0.25">
      <c r="A27" s="29" t="s">
        <v>5</v>
      </c>
      <c r="B27" s="24">
        <v>0.20444000000000001</v>
      </c>
      <c r="C27" s="24">
        <v>1.2999999999999999E-4</v>
      </c>
      <c r="D27" s="24">
        <v>0.45340999999999998</v>
      </c>
      <c r="E27" s="24">
        <v>0</v>
      </c>
      <c r="F27" s="24">
        <v>0.98255999999999999</v>
      </c>
      <c r="G27" s="24" t="s">
        <v>12</v>
      </c>
      <c r="H27" s="24">
        <v>7.9659999999999995E-2</v>
      </c>
      <c r="I27" s="24">
        <f t="shared" si="2"/>
        <v>0.18440999999999999</v>
      </c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3"/>
    </row>
    <row r="28" spans="1:20" ht="14.4" x14ac:dyDescent="0.25">
      <c r="A28" s="21" t="s">
        <v>6</v>
      </c>
      <c r="B28" s="22">
        <v>0.32369999999999999</v>
      </c>
      <c r="C28" s="22">
        <v>0.56888000000000005</v>
      </c>
      <c r="D28" s="22">
        <v>4.7840000000000001E-2</v>
      </c>
      <c r="E28" s="22">
        <v>9.5999999999999992E-3</v>
      </c>
      <c r="F28" s="22">
        <v>0.95270999999999995</v>
      </c>
      <c r="G28" s="22">
        <v>0.92034000000000005</v>
      </c>
      <c r="H28" s="22" t="s">
        <v>12</v>
      </c>
      <c r="I28" s="22">
        <f t="shared" si="2"/>
        <v>0.46518999999999999</v>
      </c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3"/>
    </row>
    <row r="29" spans="1:20" ht="14.4" x14ac:dyDescent="0.25">
      <c r="A29" s="37" t="s">
        <v>25</v>
      </c>
      <c r="B29" s="37"/>
      <c r="C29" s="37"/>
      <c r="D29" s="37"/>
      <c r="E29" s="37"/>
      <c r="F29" s="37"/>
      <c r="G29" s="37"/>
      <c r="H29" s="37"/>
      <c r="I29" s="37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3"/>
    </row>
    <row r="30" spans="1:20" ht="14.4" x14ac:dyDescent="0.25">
      <c r="A30" s="27"/>
      <c r="B30" s="28" t="s">
        <v>9</v>
      </c>
      <c r="C30" s="28" t="s">
        <v>2</v>
      </c>
      <c r="D30" s="28" t="s">
        <v>3</v>
      </c>
      <c r="E30" s="28" t="s">
        <v>7</v>
      </c>
      <c r="F30" s="28" t="s">
        <v>8</v>
      </c>
      <c r="G30" s="28" t="s">
        <v>5</v>
      </c>
      <c r="H30" s="28" t="s">
        <v>6</v>
      </c>
      <c r="I30" s="28" t="s">
        <v>10</v>
      </c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3"/>
    </row>
    <row r="31" spans="1:20" ht="14.4" x14ac:dyDescent="0.25">
      <c r="A31" s="29" t="s">
        <v>9</v>
      </c>
      <c r="B31" s="24" t="s">
        <v>12</v>
      </c>
      <c r="C31" s="24">
        <v>0.99119999999999997</v>
      </c>
      <c r="D31" s="24">
        <v>0.99121000000000004</v>
      </c>
      <c r="E31" s="24">
        <v>0.21736</v>
      </c>
      <c r="F31" s="24">
        <v>0.99944999999999995</v>
      </c>
      <c r="G31" s="24">
        <v>0.43375999999999998</v>
      </c>
      <c r="H31" s="24">
        <v>0.65810000000000002</v>
      </c>
      <c r="I31" s="24">
        <f t="shared" ref="I31:I37" si="3">AVERAGE(B31:H31)</f>
        <v>0.71518000000000004</v>
      </c>
      <c r="J31" s="21" t="s">
        <v>13</v>
      </c>
      <c r="K31" s="24">
        <f>VARP(I31:I37)</f>
        <v>7.6209450341269747E-2</v>
      </c>
      <c r="L31" s="21"/>
      <c r="M31" s="21"/>
      <c r="N31" s="21"/>
      <c r="O31" s="21"/>
      <c r="P31" s="21"/>
      <c r="Q31" s="21"/>
      <c r="R31" s="21"/>
      <c r="S31" s="21"/>
      <c r="T31" s="23"/>
    </row>
    <row r="32" spans="1:20" ht="14.4" x14ac:dyDescent="0.25">
      <c r="A32" s="29" t="s">
        <v>2</v>
      </c>
      <c r="B32" s="24">
        <v>8.8000000000000005E-3</v>
      </c>
      <c r="C32" s="24" t="s">
        <v>12</v>
      </c>
      <c r="D32" s="24">
        <v>1</v>
      </c>
      <c r="E32" s="24">
        <v>3.5200000000000001E-3</v>
      </c>
      <c r="F32" s="24">
        <v>1</v>
      </c>
      <c r="G32" s="24">
        <v>0.99822</v>
      </c>
      <c r="H32" s="24">
        <v>0.33855000000000002</v>
      </c>
      <c r="I32" s="24">
        <f t="shared" si="3"/>
        <v>0.55818166666666669</v>
      </c>
      <c r="J32" s="21" t="s">
        <v>15</v>
      </c>
      <c r="K32" s="24">
        <f t="array" ref="K32">AVERAGE(IF(ISNUMBER(B31:H37), ABS(B31:H37-0.5), ""))</f>
        <v>0.41909714285714278</v>
      </c>
      <c r="L32" s="21"/>
      <c r="M32" s="21"/>
      <c r="N32" s="21"/>
      <c r="O32" s="21"/>
      <c r="P32" s="21"/>
      <c r="Q32" s="21"/>
      <c r="R32" s="21"/>
      <c r="S32" s="21"/>
      <c r="T32" s="23"/>
    </row>
    <row r="33" spans="1:20" ht="14.4" x14ac:dyDescent="0.25">
      <c r="A33" s="29" t="s">
        <v>3</v>
      </c>
      <c r="B33" s="24">
        <v>8.7899999999999992E-3</v>
      </c>
      <c r="C33" s="24">
        <v>0</v>
      </c>
      <c r="D33" s="24" t="s">
        <v>12</v>
      </c>
      <c r="E33" s="24">
        <v>3.16E-3</v>
      </c>
      <c r="F33" s="24">
        <v>1</v>
      </c>
      <c r="G33" s="24">
        <v>0.14840999999999999</v>
      </c>
      <c r="H33" s="24">
        <v>0.97760000000000002</v>
      </c>
      <c r="I33" s="24">
        <f t="shared" si="3"/>
        <v>0.35632666666666662</v>
      </c>
      <c r="J33" s="21" t="s">
        <v>17</v>
      </c>
      <c r="K33" s="24">
        <f>MAX(I31:I37)-MIN(I31:I37)</f>
        <v>0.95583833333333346</v>
      </c>
      <c r="L33" s="21"/>
      <c r="M33" s="21"/>
      <c r="N33" s="21"/>
      <c r="O33" s="21"/>
      <c r="P33" s="21"/>
      <c r="Q33" s="21"/>
      <c r="R33" s="21"/>
      <c r="S33" s="21"/>
      <c r="T33" s="23"/>
    </row>
    <row r="34" spans="1:20" ht="14.4" x14ac:dyDescent="0.25">
      <c r="A34" s="29" t="s">
        <v>7</v>
      </c>
      <c r="B34" s="24">
        <v>0.78264</v>
      </c>
      <c r="C34" s="24">
        <v>0.99648000000000003</v>
      </c>
      <c r="D34" s="24">
        <v>0.99683999999999995</v>
      </c>
      <c r="E34" s="24" t="s">
        <v>12</v>
      </c>
      <c r="F34" s="24">
        <v>0.99987999999999999</v>
      </c>
      <c r="G34" s="24">
        <v>0.98226999999999998</v>
      </c>
      <c r="H34" s="24">
        <v>0.996</v>
      </c>
      <c r="I34" s="24">
        <f t="shared" si="3"/>
        <v>0.95901833333333342</v>
      </c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3"/>
    </row>
    <row r="35" spans="1:20" ht="14.4" x14ac:dyDescent="0.25">
      <c r="A35" s="29" t="s">
        <v>8</v>
      </c>
      <c r="B35" s="24">
        <v>5.5000000000000003E-4</v>
      </c>
      <c r="C35" s="24">
        <v>0</v>
      </c>
      <c r="D35" s="24">
        <v>0</v>
      </c>
      <c r="E35" s="24">
        <v>1.2E-4</v>
      </c>
      <c r="F35" s="24" t="s">
        <v>12</v>
      </c>
      <c r="G35" s="24">
        <v>7.2999999999999996E-4</v>
      </c>
      <c r="H35" s="24">
        <v>1.7680000000000001E-2</v>
      </c>
      <c r="I35" s="24">
        <f t="shared" si="3"/>
        <v>3.1800000000000001E-3</v>
      </c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3"/>
    </row>
    <row r="36" spans="1:20" ht="14.4" x14ac:dyDescent="0.25">
      <c r="A36" s="29" t="s">
        <v>5</v>
      </c>
      <c r="B36" s="24">
        <v>0.56623999999999997</v>
      </c>
      <c r="C36" s="24">
        <v>1.7799999999999999E-3</v>
      </c>
      <c r="D36" s="24">
        <v>0.85158999999999996</v>
      </c>
      <c r="E36" s="24">
        <v>1.7729999999999999E-2</v>
      </c>
      <c r="F36" s="24">
        <v>0.99926999999999999</v>
      </c>
      <c r="G36" s="24" t="s">
        <v>12</v>
      </c>
      <c r="H36" s="24">
        <v>0.12972</v>
      </c>
      <c r="I36" s="24">
        <f t="shared" si="3"/>
        <v>0.42772166666666661</v>
      </c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3"/>
    </row>
    <row r="37" spans="1:20" ht="14.4" x14ac:dyDescent="0.25">
      <c r="A37" s="21" t="s">
        <v>6</v>
      </c>
      <c r="B37" s="22">
        <v>0.34189999999999998</v>
      </c>
      <c r="C37" s="22">
        <v>0.66144999999999998</v>
      </c>
      <c r="D37" s="22">
        <v>2.24E-2</v>
      </c>
      <c r="E37" s="22">
        <v>4.0000000000000001E-3</v>
      </c>
      <c r="F37" s="22">
        <v>0.98231999999999997</v>
      </c>
      <c r="G37" s="22">
        <v>0.87028000000000005</v>
      </c>
      <c r="H37" s="22" t="s">
        <v>12</v>
      </c>
      <c r="I37" s="22">
        <f t="shared" si="3"/>
        <v>0.48039166666666672</v>
      </c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3"/>
    </row>
    <row r="38" spans="1:20" ht="14.4" x14ac:dyDescent="0.25">
      <c r="A38" s="37" t="s">
        <v>26</v>
      </c>
      <c r="B38" s="37"/>
      <c r="C38" s="37"/>
      <c r="D38" s="37"/>
      <c r="E38" s="37"/>
      <c r="F38" s="37"/>
      <c r="G38" s="37"/>
      <c r="H38" s="37"/>
      <c r="I38" s="37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3"/>
    </row>
    <row r="39" spans="1:20" ht="14.4" x14ac:dyDescent="0.25">
      <c r="A39" s="27"/>
      <c r="B39" s="28" t="s">
        <v>9</v>
      </c>
      <c r="C39" s="28" t="s">
        <v>2</v>
      </c>
      <c r="D39" s="28" t="s">
        <v>3</v>
      </c>
      <c r="E39" s="28" t="s">
        <v>7</v>
      </c>
      <c r="F39" s="28" t="s">
        <v>8</v>
      </c>
      <c r="G39" s="28" t="s">
        <v>5</v>
      </c>
      <c r="H39" s="28" t="s">
        <v>6</v>
      </c>
      <c r="I39" s="28" t="s">
        <v>10</v>
      </c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3"/>
    </row>
    <row r="40" spans="1:20" ht="14.4" x14ac:dyDescent="0.25">
      <c r="A40" s="29" t="s">
        <v>9</v>
      </c>
      <c r="B40" s="24" t="s">
        <v>12</v>
      </c>
      <c r="C40" s="24">
        <v>0.99841999999999997</v>
      </c>
      <c r="D40" s="24">
        <v>0.99833000000000005</v>
      </c>
      <c r="E40" s="24">
        <v>0.20377999999999999</v>
      </c>
      <c r="F40" s="24">
        <v>0.99999000000000005</v>
      </c>
      <c r="G40" s="24">
        <v>2.5600000000000001E-2</v>
      </c>
      <c r="H40" s="24">
        <v>0.78622999999999998</v>
      </c>
      <c r="I40" s="24">
        <f t="shared" ref="I40:I46" si="4">AVERAGE(B40:D40,G40:H40)</f>
        <v>0.70214500000000002</v>
      </c>
      <c r="J40" s="21" t="s">
        <v>13</v>
      </c>
      <c r="K40" s="24">
        <f>VARP(I40:I46)</f>
        <v>7.3987995489336753E-2</v>
      </c>
      <c r="L40" s="21"/>
      <c r="M40" s="21"/>
      <c r="N40" s="21"/>
      <c r="O40" s="21"/>
      <c r="P40" s="21"/>
      <c r="Q40" s="21"/>
      <c r="R40" s="21"/>
      <c r="S40" s="21"/>
      <c r="T40" s="23"/>
    </row>
    <row r="41" spans="1:20" ht="14.4" x14ac:dyDescent="0.25">
      <c r="A41" s="29" t="s">
        <v>2</v>
      </c>
      <c r="B41" s="24">
        <v>1.58E-3</v>
      </c>
      <c r="C41" s="24" t="s">
        <v>12</v>
      </c>
      <c r="D41" s="24">
        <v>1</v>
      </c>
      <c r="E41" s="24">
        <v>5.4000000000000001E-4</v>
      </c>
      <c r="F41" s="24">
        <v>1</v>
      </c>
      <c r="G41" s="24">
        <v>0.86087999999999998</v>
      </c>
      <c r="H41" s="24">
        <v>0.26549</v>
      </c>
      <c r="I41" s="24">
        <f t="shared" si="4"/>
        <v>0.53198750000000006</v>
      </c>
      <c r="J41" s="21" t="s">
        <v>15</v>
      </c>
      <c r="K41" s="24">
        <f t="array" ref="K41">AVERAGE(IF(ISNUMBER(B40:H46), ABS(B40:H46-0.5), ""))</f>
        <v>0.42442666666666656</v>
      </c>
      <c r="L41" s="21"/>
      <c r="M41" s="21"/>
      <c r="N41" s="21"/>
      <c r="O41" s="21"/>
      <c r="P41" s="21"/>
      <c r="Q41" s="21"/>
      <c r="R41" s="21"/>
      <c r="S41" s="21"/>
      <c r="T41" s="23"/>
    </row>
    <row r="42" spans="1:20" ht="14.4" x14ac:dyDescent="0.25">
      <c r="A42" s="29" t="s">
        <v>3</v>
      </c>
      <c r="B42" s="24">
        <v>1.67E-3</v>
      </c>
      <c r="C42" s="24">
        <v>0</v>
      </c>
      <c r="D42" s="24" t="s">
        <v>12</v>
      </c>
      <c r="E42" s="24">
        <v>5.9000000000000003E-4</v>
      </c>
      <c r="F42" s="24">
        <v>1</v>
      </c>
      <c r="G42" s="24">
        <v>9.1E-4</v>
      </c>
      <c r="H42" s="24">
        <v>0.99251</v>
      </c>
      <c r="I42" s="24">
        <f t="shared" si="4"/>
        <v>0.24877250000000001</v>
      </c>
      <c r="J42" s="21" t="s">
        <v>17</v>
      </c>
      <c r="K42" s="24">
        <f>MAX(I40:I46)-MIN(I40:I46)</f>
        <v>0.82647000000000015</v>
      </c>
      <c r="L42" s="21"/>
      <c r="M42" s="21"/>
      <c r="N42" s="21"/>
      <c r="O42" s="21"/>
      <c r="P42" s="21"/>
      <c r="Q42" s="21"/>
      <c r="R42" s="21"/>
      <c r="S42" s="21"/>
      <c r="T42" s="23"/>
    </row>
    <row r="43" spans="1:20" ht="14.4" x14ac:dyDescent="0.25">
      <c r="A43" s="29" t="s">
        <v>7</v>
      </c>
      <c r="B43" s="24">
        <v>0.79622000000000004</v>
      </c>
      <c r="C43" s="24">
        <v>0.99946000000000002</v>
      </c>
      <c r="D43" s="24">
        <v>0.99941000000000002</v>
      </c>
      <c r="E43" s="24" t="s">
        <v>12</v>
      </c>
      <c r="F43" s="24">
        <v>0.99999000000000005</v>
      </c>
      <c r="G43" s="24">
        <v>0.34100000000000003</v>
      </c>
      <c r="H43" s="24">
        <v>0.99992000000000003</v>
      </c>
      <c r="I43" s="24">
        <f t="shared" si="4"/>
        <v>0.8272020000000001</v>
      </c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3"/>
    </row>
    <row r="44" spans="1:20" ht="14.4" x14ac:dyDescent="0.25">
      <c r="A44" s="29" t="s">
        <v>8</v>
      </c>
      <c r="B44" s="24">
        <v>1.0000000000000001E-5</v>
      </c>
      <c r="C44" s="24">
        <v>0</v>
      </c>
      <c r="D44" s="24">
        <v>0</v>
      </c>
      <c r="E44" s="24">
        <v>1.0000000000000001E-5</v>
      </c>
      <c r="F44" s="24" t="s">
        <v>12</v>
      </c>
      <c r="G44" s="24">
        <v>0</v>
      </c>
      <c r="H44" s="24">
        <v>3.65E-3</v>
      </c>
      <c r="I44" s="24">
        <f t="shared" si="4"/>
        <v>7.3200000000000001E-4</v>
      </c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3"/>
    </row>
    <row r="45" spans="1:20" ht="14.4" x14ac:dyDescent="0.25">
      <c r="A45" s="29" t="s">
        <v>5</v>
      </c>
      <c r="B45" s="24">
        <v>0.97440000000000004</v>
      </c>
      <c r="C45" s="24">
        <v>0.13911999999999999</v>
      </c>
      <c r="D45" s="24">
        <v>0.99909000000000003</v>
      </c>
      <c r="E45" s="24">
        <v>0.65900000000000003</v>
      </c>
      <c r="F45" s="24">
        <v>1</v>
      </c>
      <c r="G45" s="24" t="s">
        <v>12</v>
      </c>
      <c r="H45" s="24">
        <v>0.61824999999999997</v>
      </c>
      <c r="I45" s="24">
        <f t="shared" si="4"/>
        <v>0.68271499999999996</v>
      </c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3"/>
    </row>
    <row r="46" spans="1:20" x14ac:dyDescent="0.25">
      <c r="A46" s="6" t="s">
        <v>6</v>
      </c>
      <c r="B46" s="7">
        <v>0.21376999999999999</v>
      </c>
      <c r="C46" s="7">
        <v>0.73451</v>
      </c>
      <c r="D46" s="7">
        <v>7.4900000000000001E-3</v>
      </c>
      <c r="E46" s="7">
        <v>8.0000000000000007E-5</v>
      </c>
      <c r="F46" s="7">
        <v>0.99634999999999996</v>
      </c>
      <c r="G46" s="7">
        <v>0.38174999999999998</v>
      </c>
      <c r="H46" s="7" t="s">
        <v>12</v>
      </c>
      <c r="I46" s="8">
        <f t="shared" si="4"/>
        <v>0.33438000000000001</v>
      </c>
      <c r="T46" s="2"/>
    </row>
    <row r="47" spans="1:20" x14ac:dyDescent="0.25">
      <c r="T47" s="2"/>
    </row>
    <row r="48" spans="1:20" x14ac:dyDescent="0.25">
      <c r="T48" s="2"/>
    </row>
    <row r="49" spans="20:20" x14ac:dyDescent="0.25">
      <c r="T49" s="2"/>
    </row>
    <row r="50" spans="20:20" x14ac:dyDescent="0.25">
      <c r="T50" s="2"/>
    </row>
    <row r="51" spans="20:20" x14ac:dyDescent="0.25">
      <c r="T51" s="2"/>
    </row>
    <row r="52" spans="20:20" x14ac:dyDescent="0.25">
      <c r="T52" s="2"/>
    </row>
    <row r="53" spans="20:20" x14ac:dyDescent="0.25">
      <c r="T53" s="2"/>
    </row>
    <row r="54" spans="20:20" x14ac:dyDescent="0.25">
      <c r="T54" s="2"/>
    </row>
    <row r="55" spans="20:20" x14ac:dyDescent="0.25">
      <c r="T55" s="2"/>
    </row>
    <row r="56" spans="20:20" x14ac:dyDescent="0.25">
      <c r="T56" s="2"/>
    </row>
    <row r="57" spans="20:20" x14ac:dyDescent="0.25">
      <c r="T57" s="2"/>
    </row>
    <row r="58" spans="20:20" x14ac:dyDescent="0.25">
      <c r="T58" s="2"/>
    </row>
    <row r="59" spans="20:20" x14ac:dyDescent="0.25">
      <c r="T59" s="2"/>
    </row>
    <row r="60" spans="20:20" x14ac:dyDescent="0.25">
      <c r="T60" s="2"/>
    </row>
    <row r="61" spans="20:20" x14ac:dyDescent="0.25">
      <c r="T61" s="2"/>
    </row>
    <row r="62" spans="20:20" x14ac:dyDescent="0.25">
      <c r="T62" s="2"/>
    </row>
    <row r="63" spans="20:20" x14ac:dyDescent="0.25">
      <c r="T63" s="2"/>
    </row>
    <row r="64" spans="20:20" x14ac:dyDescent="0.25">
      <c r="T64" s="2"/>
    </row>
    <row r="65" spans="20:20" x14ac:dyDescent="0.25">
      <c r="T65" s="2"/>
    </row>
    <row r="66" spans="20:20" x14ac:dyDescent="0.25">
      <c r="T66" s="2"/>
    </row>
    <row r="67" spans="20:20" x14ac:dyDescent="0.25">
      <c r="T67" s="2"/>
    </row>
    <row r="68" spans="20:20" x14ac:dyDescent="0.25">
      <c r="T68" s="2"/>
    </row>
    <row r="69" spans="20:20" x14ac:dyDescent="0.25">
      <c r="T69" s="2"/>
    </row>
    <row r="70" spans="20:20" x14ac:dyDescent="0.25">
      <c r="T70" s="2"/>
    </row>
    <row r="71" spans="20:20" x14ac:dyDescent="0.25">
      <c r="T71" s="2"/>
    </row>
    <row r="72" spans="20:20" x14ac:dyDescent="0.25">
      <c r="T72" s="2"/>
    </row>
    <row r="73" spans="20:20" x14ac:dyDescent="0.25">
      <c r="T73" s="2"/>
    </row>
    <row r="74" spans="20:20" x14ac:dyDescent="0.25">
      <c r="T74" s="2"/>
    </row>
    <row r="75" spans="20:20" x14ac:dyDescent="0.25">
      <c r="T75" s="2"/>
    </row>
    <row r="76" spans="20:20" x14ac:dyDescent="0.25">
      <c r="T76" s="2"/>
    </row>
    <row r="77" spans="20:20" x14ac:dyDescent="0.25">
      <c r="T77" s="2"/>
    </row>
    <row r="78" spans="20:20" x14ac:dyDescent="0.25">
      <c r="T78" s="2"/>
    </row>
    <row r="79" spans="20:20" x14ac:dyDescent="0.25">
      <c r="T79" s="2"/>
    </row>
    <row r="80" spans="20:20" x14ac:dyDescent="0.25">
      <c r="T80" s="2"/>
    </row>
    <row r="81" spans="20:20" x14ac:dyDescent="0.25">
      <c r="T81" s="2"/>
    </row>
    <row r="82" spans="20:20" x14ac:dyDescent="0.25">
      <c r="T82" s="2"/>
    </row>
    <row r="83" spans="20:20" x14ac:dyDescent="0.25">
      <c r="T83" s="2"/>
    </row>
    <row r="84" spans="20:20" x14ac:dyDescent="0.25">
      <c r="T84" s="2"/>
    </row>
    <row r="85" spans="20:20" x14ac:dyDescent="0.25">
      <c r="T85" s="2"/>
    </row>
    <row r="86" spans="20:20" x14ac:dyDescent="0.25">
      <c r="T86" s="2"/>
    </row>
    <row r="87" spans="20:20" x14ac:dyDescent="0.25">
      <c r="T87" s="2"/>
    </row>
    <row r="88" spans="20:20" x14ac:dyDescent="0.25">
      <c r="T88" s="2"/>
    </row>
    <row r="89" spans="20:20" x14ac:dyDescent="0.25">
      <c r="T89" s="2"/>
    </row>
    <row r="90" spans="20:20" x14ac:dyDescent="0.25">
      <c r="T90" s="2"/>
    </row>
    <row r="91" spans="20:20" x14ac:dyDescent="0.25">
      <c r="T91" s="2"/>
    </row>
    <row r="92" spans="20:20" x14ac:dyDescent="0.25">
      <c r="T92" s="2"/>
    </row>
    <row r="93" spans="20:20" x14ac:dyDescent="0.25">
      <c r="T93" s="2"/>
    </row>
    <row r="94" spans="20:20" x14ac:dyDescent="0.25">
      <c r="T94" s="2"/>
    </row>
    <row r="95" spans="20:20" x14ac:dyDescent="0.25">
      <c r="T95" s="2"/>
    </row>
    <row r="96" spans="20:20" x14ac:dyDescent="0.25">
      <c r="T96" s="2"/>
    </row>
    <row r="97" spans="20:20" x14ac:dyDescent="0.25">
      <c r="T97" s="2"/>
    </row>
    <row r="98" spans="20:20" x14ac:dyDescent="0.25">
      <c r="T98" s="2"/>
    </row>
    <row r="99" spans="20:20" x14ac:dyDescent="0.25">
      <c r="T99" s="2"/>
    </row>
    <row r="100" spans="20:20" x14ac:dyDescent="0.25">
      <c r="T100" s="2"/>
    </row>
    <row r="101" spans="20:20" x14ac:dyDescent="0.25">
      <c r="T101" s="2"/>
    </row>
    <row r="102" spans="20:20" x14ac:dyDescent="0.25">
      <c r="T102" s="2"/>
    </row>
    <row r="103" spans="20:20" x14ac:dyDescent="0.25">
      <c r="T103" s="2"/>
    </row>
    <row r="104" spans="20:20" x14ac:dyDescent="0.25">
      <c r="T104" s="2"/>
    </row>
    <row r="105" spans="20:20" x14ac:dyDescent="0.25">
      <c r="T105" s="2"/>
    </row>
    <row r="106" spans="20:20" x14ac:dyDescent="0.25">
      <c r="T106" s="2"/>
    </row>
    <row r="107" spans="20:20" x14ac:dyDescent="0.25">
      <c r="T107" s="2"/>
    </row>
    <row r="108" spans="20:20" x14ac:dyDescent="0.25">
      <c r="T108" s="2"/>
    </row>
    <row r="109" spans="20:20" x14ac:dyDescent="0.25">
      <c r="T109" s="2"/>
    </row>
    <row r="110" spans="20:20" x14ac:dyDescent="0.25">
      <c r="T110" s="2"/>
    </row>
    <row r="111" spans="20:20" x14ac:dyDescent="0.25">
      <c r="T111" s="2"/>
    </row>
    <row r="112" spans="20:20" x14ac:dyDescent="0.25">
      <c r="T112" s="2"/>
    </row>
    <row r="113" spans="20:20" x14ac:dyDescent="0.25">
      <c r="T113" s="2"/>
    </row>
    <row r="114" spans="20:20" x14ac:dyDescent="0.25">
      <c r="T114" s="2"/>
    </row>
    <row r="115" spans="20:20" x14ac:dyDescent="0.25">
      <c r="T115" s="2"/>
    </row>
    <row r="116" spans="20:20" x14ac:dyDescent="0.25">
      <c r="T116" s="2"/>
    </row>
    <row r="117" spans="20:20" x14ac:dyDescent="0.25">
      <c r="T117" s="2"/>
    </row>
    <row r="118" spans="20:20" x14ac:dyDescent="0.25">
      <c r="T118" s="2"/>
    </row>
    <row r="119" spans="20:20" x14ac:dyDescent="0.25">
      <c r="T119" s="2"/>
    </row>
    <row r="120" spans="20:20" x14ac:dyDescent="0.25">
      <c r="T120" s="2"/>
    </row>
    <row r="121" spans="20:20" x14ac:dyDescent="0.25">
      <c r="T121" s="2"/>
    </row>
    <row r="122" spans="20:20" x14ac:dyDescent="0.25">
      <c r="T122" s="2"/>
    </row>
    <row r="123" spans="20:20" x14ac:dyDescent="0.25">
      <c r="T123" s="2"/>
    </row>
    <row r="124" spans="20:20" x14ac:dyDescent="0.25">
      <c r="T124" s="2"/>
    </row>
    <row r="125" spans="20:20" x14ac:dyDescent="0.25">
      <c r="T125" s="2"/>
    </row>
    <row r="126" spans="20:20" x14ac:dyDescent="0.25">
      <c r="T126" s="2"/>
    </row>
    <row r="127" spans="20:20" x14ac:dyDescent="0.25">
      <c r="T127" s="2"/>
    </row>
    <row r="128" spans="20:20" x14ac:dyDescent="0.25">
      <c r="T128" s="2"/>
    </row>
    <row r="129" spans="20:20" x14ac:dyDescent="0.25">
      <c r="T129" s="2"/>
    </row>
    <row r="130" spans="20:20" x14ac:dyDescent="0.25">
      <c r="T130" s="2"/>
    </row>
    <row r="131" spans="20:20" x14ac:dyDescent="0.25">
      <c r="T131" s="2"/>
    </row>
    <row r="132" spans="20:20" x14ac:dyDescent="0.25">
      <c r="T132" s="2"/>
    </row>
    <row r="133" spans="20:20" x14ac:dyDescent="0.25">
      <c r="T133" s="2"/>
    </row>
    <row r="134" spans="20:20" x14ac:dyDescent="0.25">
      <c r="T134" s="2"/>
    </row>
    <row r="135" spans="20:20" x14ac:dyDescent="0.25">
      <c r="T135" s="2"/>
    </row>
    <row r="136" spans="20:20" x14ac:dyDescent="0.25">
      <c r="T136" s="2"/>
    </row>
    <row r="137" spans="20:20" x14ac:dyDescent="0.25">
      <c r="T137" s="2"/>
    </row>
    <row r="138" spans="20:20" x14ac:dyDescent="0.25">
      <c r="T138" s="2"/>
    </row>
    <row r="139" spans="20:20" x14ac:dyDescent="0.25">
      <c r="T139" s="2"/>
    </row>
    <row r="140" spans="20:20" x14ac:dyDescent="0.25">
      <c r="T140" s="2"/>
    </row>
    <row r="141" spans="20:20" x14ac:dyDescent="0.25">
      <c r="T141" s="2"/>
    </row>
    <row r="142" spans="20:20" x14ac:dyDescent="0.25">
      <c r="T142" s="2"/>
    </row>
    <row r="143" spans="20:20" x14ac:dyDescent="0.25">
      <c r="T143" s="2"/>
    </row>
    <row r="144" spans="20:20" x14ac:dyDescent="0.25">
      <c r="T144" s="2"/>
    </row>
    <row r="145" spans="20:20" x14ac:dyDescent="0.25">
      <c r="T145" s="2"/>
    </row>
    <row r="146" spans="20:20" x14ac:dyDescent="0.25">
      <c r="T146" s="2"/>
    </row>
    <row r="147" spans="20:20" x14ac:dyDescent="0.25">
      <c r="T147" s="2"/>
    </row>
    <row r="148" spans="20:20" x14ac:dyDescent="0.25">
      <c r="T148" s="2"/>
    </row>
    <row r="149" spans="20:20" x14ac:dyDescent="0.25">
      <c r="T149" s="2"/>
    </row>
    <row r="150" spans="20:20" x14ac:dyDescent="0.25">
      <c r="T150" s="2"/>
    </row>
    <row r="151" spans="20:20" x14ac:dyDescent="0.25">
      <c r="T151" s="2"/>
    </row>
    <row r="152" spans="20:20" x14ac:dyDescent="0.25">
      <c r="T152" s="2"/>
    </row>
    <row r="153" spans="20:20" x14ac:dyDescent="0.25">
      <c r="T153" s="2"/>
    </row>
    <row r="154" spans="20:20" x14ac:dyDescent="0.25">
      <c r="T154" s="2"/>
    </row>
    <row r="155" spans="20:20" x14ac:dyDescent="0.25">
      <c r="T155" s="2"/>
    </row>
    <row r="156" spans="20:20" x14ac:dyDescent="0.25">
      <c r="T156" s="2"/>
    </row>
    <row r="157" spans="20:20" x14ac:dyDescent="0.25">
      <c r="T157" s="2"/>
    </row>
    <row r="158" spans="20:20" x14ac:dyDescent="0.25">
      <c r="T158" s="2"/>
    </row>
    <row r="159" spans="20:20" x14ac:dyDescent="0.25">
      <c r="T159" s="2"/>
    </row>
    <row r="160" spans="20:20" x14ac:dyDescent="0.25">
      <c r="T160" s="2"/>
    </row>
    <row r="161" spans="20:20" x14ac:dyDescent="0.25">
      <c r="T161" s="2"/>
    </row>
    <row r="162" spans="20:20" x14ac:dyDescent="0.25">
      <c r="T162" s="2"/>
    </row>
    <row r="163" spans="20:20" x14ac:dyDescent="0.25">
      <c r="T163" s="2"/>
    </row>
    <row r="164" spans="20:20" x14ac:dyDescent="0.25">
      <c r="T164" s="2"/>
    </row>
    <row r="165" spans="20:20" x14ac:dyDescent="0.25">
      <c r="T165" s="2"/>
    </row>
    <row r="166" spans="20:20" x14ac:dyDescent="0.25">
      <c r="T166" s="2"/>
    </row>
    <row r="167" spans="20:20" x14ac:dyDescent="0.25">
      <c r="T167" s="2"/>
    </row>
    <row r="168" spans="20:20" x14ac:dyDescent="0.25">
      <c r="T168" s="2"/>
    </row>
    <row r="169" spans="20:20" x14ac:dyDescent="0.25">
      <c r="T169" s="2"/>
    </row>
    <row r="170" spans="20:20" x14ac:dyDescent="0.25">
      <c r="T170" s="2"/>
    </row>
    <row r="171" spans="20:20" x14ac:dyDescent="0.25">
      <c r="T171" s="2"/>
    </row>
    <row r="172" spans="20:20" x14ac:dyDescent="0.25">
      <c r="T172" s="2"/>
    </row>
    <row r="173" spans="20:20" x14ac:dyDescent="0.25">
      <c r="T173" s="2"/>
    </row>
    <row r="174" spans="20:20" x14ac:dyDescent="0.25">
      <c r="T174" s="2"/>
    </row>
    <row r="175" spans="20:20" x14ac:dyDescent="0.25">
      <c r="T175" s="2"/>
    </row>
    <row r="176" spans="20:20" x14ac:dyDescent="0.25">
      <c r="T176" s="2"/>
    </row>
    <row r="177" spans="20:20" x14ac:dyDescent="0.25">
      <c r="T177" s="2"/>
    </row>
    <row r="178" spans="20:20" x14ac:dyDescent="0.25">
      <c r="T178" s="2"/>
    </row>
    <row r="179" spans="20:20" x14ac:dyDescent="0.25">
      <c r="T179" s="2"/>
    </row>
    <row r="180" spans="20:20" x14ac:dyDescent="0.25">
      <c r="T180" s="2"/>
    </row>
    <row r="181" spans="20:20" x14ac:dyDescent="0.25">
      <c r="T181" s="2"/>
    </row>
    <row r="182" spans="20:20" x14ac:dyDescent="0.25">
      <c r="T182" s="2"/>
    </row>
    <row r="183" spans="20:20" x14ac:dyDescent="0.25">
      <c r="T183" s="2"/>
    </row>
    <row r="184" spans="20:20" x14ac:dyDescent="0.25">
      <c r="T184" s="2"/>
    </row>
    <row r="185" spans="20:20" x14ac:dyDescent="0.25">
      <c r="T185" s="2"/>
    </row>
    <row r="186" spans="20:20" x14ac:dyDescent="0.25">
      <c r="T186" s="2"/>
    </row>
    <row r="187" spans="20:20" x14ac:dyDescent="0.25">
      <c r="T187" s="2"/>
    </row>
    <row r="188" spans="20:20" x14ac:dyDescent="0.25">
      <c r="T188" s="2"/>
    </row>
    <row r="189" spans="20:20" x14ac:dyDescent="0.25">
      <c r="T189" s="2"/>
    </row>
    <row r="190" spans="20:20" x14ac:dyDescent="0.25">
      <c r="T190" s="2"/>
    </row>
    <row r="191" spans="20:20" x14ac:dyDescent="0.25">
      <c r="T191" s="2"/>
    </row>
    <row r="192" spans="20:20" x14ac:dyDescent="0.25">
      <c r="T192" s="2"/>
    </row>
    <row r="193" spans="20:20" x14ac:dyDescent="0.25">
      <c r="T193" s="2"/>
    </row>
    <row r="194" spans="20:20" x14ac:dyDescent="0.25">
      <c r="T194" s="2"/>
    </row>
    <row r="195" spans="20:20" x14ac:dyDescent="0.25">
      <c r="T195" s="2"/>
    </row>
    <row r="196" spans="20:20" x14ac:dyDescent="0.25">
      <c r="T196" s="2"/>
    </row>
    <row r="197" spans="20:20" x14ac:dyDescent="0.25">
      <c r="T197" s="2"/>
    </row>
    <row r="198" spans="20:20" x14ac:dyDescent="0.25">
      <c r="T198" s="2"/>
    </row>
    <row r="199" spans="20:20" x14ac:dyDescent="0.25">
      <c r="T199" s="2"/>
    </row>
    <row r="200" spans="20:20" x14ac:dyDescent="0.25">
      <c r="T200" s="2"/>
    </row>
    <row r="201" spans="20:20" x14ac:dyDescent="0.25">
      <c r="T201" s="2"/>
    </row>
    <row r="202" spans="20:20" x14ac:dyDescent="0.25">
      <c r="T202" s="2"/>
    </row>
    <row r="203" spans="20:20" x14ac:dyDescent="0.25">
      <c r="T203" s="2"/>
    </row>
    <row r="204" spans="20:20" x14ac:dyDescent="0.25">
      <c r="T204" s="2"/>
    </row>
    <row r="205" spans="20:20" x14ac:dyDescent="0.25">
      <c r="T205" s="2"/>
    </row>
    <row r="206" spans="20:20" x14ac:dyDescent="0.25">
      <c r="T206" s="2"/>
    </row>
    <row r="207" spans="20:20" x14ac:dyDescent="0.25">
      <c r="T207" s="2"/>
    </row>
    <row r="208" spans="20:20" x14ac:dyDescent="0.25">
      <c r="T208" s="2"/>
    </row>
    <row r="209" spans="20:20" x14ac:dyDescent="0.25">
      <c r="T209" s="2"/>
    </row>
    <row r="210" spans="20:20" x14ac:dyDescent="0.25">
      <c r="T210" s="2"/>
    </row>
    <row r="211" spans="20:20" x14ac:dyDescent="0.25">
      <c r="T211" s="2"/>
    </row>
    <row r="212" spans="20:20" x14ac:dyDescent="0.25">
      <c r="T212" s="2"/>
    </row>
    <row r="213" spans="20:20" x14ac:dyDescent="0.25">
      <c r="T213" s="2"/>
    </row>
    <row r="214" spans="20:20" x14ac:dyDescent="0.25">
      <c r="T214" s="2"/>
    </row>
    <row r="215" spans="20:20" x14ac:dyDescent="0.25">
      <c r="T215" s="2"/>
    </row>
    <row r="216" spans="20:20" x14ac:dyDescent="0.25">
      <c r="T216" s="2"/>
    </row>
    <row r="217" spans="20:20" x14ac:dyDescent="0.25">
      <c r="T217" s="2"/>
    </row>
    <row r="218" spans="20:20" x14ac:dyDescent="0.25">
      <c r="T218" s="2"/>
    </row>
    <row r="219" spans="20:20" x14ac:dyDescent="0.25">
      <c r="T219" s="2"/>
    </row>
    <row r="220" spans="20:20" x14ac:dyDescent="0.25">
      <c r="T220" s="2"/>
    </row>
    <row r="221" spans="20:20" x14ac:dyDescent="0.25">
      <c r="T221" s="2"/>
    </row>
    <row r="222" spans="20:20" x14ac:dyDescent="0.25">
      <c r="T222" s="2"/>
    </row>
    <row r="223" spans="20:20" x14ac:dyDescent="0.25">
      <c r="T223" s="2"/>
    </row>
    <row r="224" spans="20:20" x14ac:dyDescent="0.25">
      <c r="T224" s="2"/>
    </row>
    <row r="225" spans="20:20" x14ac:dyDescent="0.25">
      <c r="T225" s="2"/>
    </row>
    <row r="226" spans="20:20" x14ac:dyDescent="0.25">
      <c r="T226" s="2"/>
    </row>
    <row r="227" spans="20:20" x14ac:dyDescent="0.25">
      <c r="T227" s="2"/>
    </row>
    <row r="228" spans="20:20" x14ac:dyDescent="0.25">
      <c r="T228" s="2"/>
    </row>
    <row r="229" spans="20:20" x14ac:dyDescent="0.25">
      <c r="T229" s="2"/>
    </row>
    <row r="230" spans="20:20" x14ac:dyDescent="0.25">
      <c r="T230" s="2"/>
    </row>
    <row r="231" spans="20:20" x14ac:dyDescent="0.25">
      <c r="T231" s="2"/>
    </row>
    <row r="232" spans="20:20" x14ac:dyDescent="0.25">
      <c r="T232" s="2"/>
    </row>
    <row r="233" spans="20:20" x14ac:dyDescent="0.25">
      <c r="T233" s="2"/>
    </row>
    <row r="234" spans="20:20" x14ac:dyDescent="0.25">
      <c r="T234" s="2"/>
    </row>
    <row r="235" spans="20:20" x14ac:dyDescent="0.25">
      <c r="T235" s="2"/>
    </row>
    <row r="236" spans="20:20" x14ac:dyDescent="0.25">
      <c r="T236" s="2"/>
    </row>
    <row r="237" spans="20:20" x14ac:dyDescent="0.25">
      <c r="T237" s="2"/>
    </row>
    <row r="238" spans="20:20" x14ac:dyDescent="0.25">
      <c r="T238" s="2"/>
    </row>
    <row r="239" spans="20:20" x14ac:dyDescent="0.25">
      <c r="T239" s="2"/>
    </row>
    <row r="240" spans="20:20" x14ac:dyDescent="0.25">
      <c r="T240" s="2"/>
    </row>
    <row r="241" spans="20:20" x14ac:dyDescent="0.25">
      <c r="T241" s="2"/>
    </row>
    <row r="242" spans="20:20" x14ac:dyDescent="0.25">
      <c r="T242" s="2"/>
    </row>
    <row r="243" spans="20:20" x14ac:dyDescent="0.25">
      <c r="T243" s="2"/>
    </row>
    <row r="244" spans="20:20" x14ac:dyDescent="0.25">
      <c r="T244" s="2"/>
    </row>
    <row r="245" spans="20:20" x14ac:dyDescent="0.25">
      <c r="T245" s="2"/>
    </row>
    <row r="246" spans="20:20" x14ac:dyDescent="0.25">
      <c r="T246" s="2"/>
    </row>
    <row r="247" spans="20:20" x14ac:dyDescent="0.25">
      <c r="T247" s="2"/>
    </row>
    <row r="248" spans="20:20" x14ac:dyDescent="0.25">
      <c r="T248" s="2"/>
    </row>
    <row r="249" spans="20:20" x14ac:dyDescent="0.25">
      <c r="T249" s="2"/>
    </row>
    <row r="250" spans="20:20" x14ac:dyDescent="0.25">
      <c r="T250" s="2"/>
    </row>
    <row r="251" spans="20:20" x14ac:dyDescent="0.25">
      <c r="T251" s="2"/>
    </row>
    <row r="252" spans="20:20" x14ac:dyDescent="0.25">
      <c r="T252" s="2"/>
    </row>
    <row r="253" spans="20:20" x14ac:dyDescent="0.25">
      <c r="T253" s="2"/>
    </row>
    <row r="254" spans="20:20" x14ac:dyDescent="0.25">
      <c r="T254" s="2"/>
    </row>
    <row r="255" spans="20:20" x14ac:dyDescent="0.25">
      <c r="T255" s="2"/>
    </row>
    <row r="256" spans="20:20" x14ac:dyDescent="0.25">
      <c r="T256" s="2"/>
    </row>
    <row r="257" spans="20:20" x14ac:dyDescent="0.25">
      <c r="T257" s="2"/>
    </row>
    <row r="258" spans="20:20" x14ac:dyDescent="0.25">
      <c r="T258" s="2"/>
    </row>
    <row r="259" spans="20:20" x14ac:dyDescent="0.25">
      <c r="T259" s="2"/>
    </row>
    <row r="260" spans="20:20" x14ac:dyDescent="0.25">
      <c r="T260" s="2"/>
    </row>
    <row r="261" spans="20:20" x14ac:dyDescent="0.25">
      <c r="T261" s="2"/>
    </row>
    <row r="262" spans="20:20" x14ac:dyDescent="0.25">
      <c r="T262" s="2"/>
    </row>
    <row r="263" spans="20:20" x14ac:dyDescent="0.25">
      <c r="T263" s="2"/>
    </row>
    <row r="264" spans="20:20" x14ac:dyDescent="0.25">
      <c r="T264" s="2"/>
    </row>
    <row r="265" spans="20:20" x14ac:dyDescent="0.25">
      <c r="T265" s="2"/>
    </row>
    <row r="266" spans="20:20" x14ac:dyDescent="0.25">
      <c r="T266" s="2"/>
    </row>
    <row r="267" spans="20:20" x14ac:dyDescent="0.25">
      <c r="T267" s="2"/>
    </row>
    <row r="268" spans="20:20" x14ac:dyDescent="0.25">
      <c r="T268" s="2"/>
    </row>
    <row r="269" spans="20:20" x14ac:dyDescent="0.25">
      <c r="T269" s="2"/>
    </row>
    <row r="270" spans="20:20" x14ac:dyDescent="0.25">
      <c r="T270" s="2"/>
    </row>
    <row r="271" spans="20:20" x14ac:dyDescent="0.25">
      <c r="T271" s="2"/>
    </row>
    <row r="272" spans="20:20" x14ac:dyDescent="0.25">
      <c r="T272" s="2"/>
    </row>
    <row r="273" spans="20:20" x14ac:dyDescent="0.25">
      <c r="T273" s="2"/>
    </row>
    <row r="274" spans="20:20" x14ac:dyDescent="0.25">
      <c r="T274" s="2"/>
    </row>
    <row r="275" spans="20:20" x14ac:dyDescent="0.25">
      <c r="T275" s="2"/>
    </row>
    <row r="276" spans="20:20" x14ac:dyDescent="0.25">
      <c r="T276" s="2"/>
    </row>
    <row r="277" spans="20:20" x14ac:dyDescent="0.25">
      <c r="T277" s="2"/>
    </row>
    <row r="278" spans="20:20" x14ac:dyDescent="0.25">
      <c r="T278" s="2"/>
    </row>
    <row r="279" spans="20:20" x14ac:dyDescent="0.25">
      <c r="T279" s="2"/>
    </row>
    <row r="280" spans="20:20" x14ac:dyDescent="0.25">
      <c r="T280" s="2"/>
    </row>
    <row r="281" spans="20:20" x14ac:dyDescent="0.25">
      <c r="T281" s="2"/>
    </row>
    <row r="282" spans="20:20" x14ac:dyDescent="0.25">
      <c r="T282" s="2"/>
    </row>
    <row r="283" spans="20:20" x14ac:dyDescent="0.25">
      <c r="T283" s="2"/>
    </row>
    <row r="284" spans="20:20" x14ac:dyDescent="0.25">
      <c r="T284" s="2"/>
    </row>
    <row r="285" spans="20:20" x14ac:dyDescent="0.25">
      <c r="T285" s="2"/>
    </row>
    <row r="286" spans="20:20" x14ac:dyDescent="0.25">
      <c r="T286" s="2"/>
    </row>
    <row r="287" spans="20:20" x14ac:dyDescent="0.25">
      <c r="T287" s="2"/>
    </row>
    <row r="288" spans="20:20" x14ac:dyDescent="0.25">
      <c r="T288" s="2"/>
    </row>
    <row r="289" spans="20:20" x14ac:dyDescent="0.25">
      <c r="T289" s="2"/>
    </row>
    <row r="290" spans="20:20" x14ac:dyDescent="0.25">
      <c r="T290" s="2"/>
    </row>
    <row r="291" spans="20:20" x14ac:dyDescent="0.25">
      <c r="T291" s="2"/>
    </row>
    <row r="292" spans="20:20" x14ac:dyDescent="0.25">
      <c r="T292" s="2"/>
    </row>
    <row r="293" spans="20:20" x14ac:dyDescent="0.25">
      <c r="T293" s="2"/>
    </row>
    <row r="294" spans="20:20" x14ac:dyDescent="0.25">
      <c r="T294" s="2"/>
    </row>
    <row r="295" spans="20:20" x14ac:dyDescent="0.25">
      <c r="T295" s="2"/>
    </row>
    <row r="296" spans="20:20" x14ac:dyDescent="0.25">
      <c r="T296" s="2"/>
    </row>
    <row r="297" spans="20:20" x14ac:dyDescent="0.25">
      <c r="T297" s="2"/>
    </row>
    <row r="298" spans="20:20" x14ac:dyDescent="0.25">
      <c r="T298" s="2"/>
    </row>
    <row r="299" spans="20:20" x14ac:dyDescent="0.25">
      <c r="T299" s="2"/>
    </row>
    <row r="300" spans="20:20" x14ac:dyDescent="0.25">
      <c r="T300" s="2"/>
    </row>
    <row r="301" spans="20:20" x14ac:dyDescent="0.25">
      <c r="T301" s="2"/>
    </row>
    <row r="302" spans="20:20" x14ac:dyDescent="0.25">
      <c r="T302" s="2"/>
    </row>
    <row r="303" spans="20:20" x14ac:dyDescent="0.25">
      <c r="T303" s="2"/>
    </row>
    <row r="304" spans="20:20" x14ac:dyDescent="0.25">
      <c r="T304" s="2"/>
    </row>
    <row r="305" spans="20:20" x14ac:dyDescent="0.25">
      <c r="T305" s="2"/>
    </row>
    <row r="306" spans="20:20" x14ac:dyDescent="0.25">
      <c r="T306" s="2"/>
    </row>
    <row r="307" spans="20:20" x14ac:dyDescent="0.25">
      <c r="T307" s="2"/>
    </row>
    <row r="308" spans="20:20" x14ac:dyDescent="0.25">
      <c r="T308" s="2"/>
    </row>
    <row r="309" spans="20:20" x14ac:dyDescent="0.25">
      <c r="T309" s="2"/>
    </row>
    <row r="310" spans="20:20" x14ac:dyDescent="0.25">
      <c r="T310" s="2"/>
    </row>
    <row r="311" spans="20:20" x14ac:dyDescent="0.25">
      <c r="T311" s="2"/>
    </row>
    <row r="312" spans="20:20" x14ac:dyDescent="0.25">
      <c r="T312" s="2"/>
    </row>
    <row r="313" spans="20:20" x14ac:dyDescent="0.25">
      <c r="T313" s="2"/>
    </row>
    <row r="314" spans="20:20" x14ac:dyDescent="0.25">
      <c r="T314" s="2"/>
    </row>
    <row r="315" spans="20:20" x14ac:dyDescent="0.25">
      <c r="T315" s="2"/>
    </row>
    <row r="316" spans="20:20" x14ac:dyDescent="0.25">
      <c r="T316" s="2"/>
    </row>
    <row r="317" spans="20:20" x14ac:dyDescent="0.25">
      <c r="T317" s="2"/>
    </row>
    <row r="318" spans="20:20" x14ac:dyDescent="0.25">
      <c r="T318" s="2"/>
    </row>
    <row r="319" spans="20:20" x14ac:dyDescent="0.25">
      <c r="T319" s="2"/>
    </row>
    <row r="320" spans="20:20" x14ac:dyDescent="0.25">
      <c r="T320" s="2"/>
    </row>
    <row r="321" spans="20:20" x14ac:dyDescent="0.25">
      <c r="T321" s="2"/>
    </row>
    <row r="322" spans="20:20" x14ac:dyDescent="0.25">
      <c r="T322" s="2"/>
    </row>
    <row r="323" spans="20:20" x14ac:dyDescent="0.25">
      <c r="T323" s="2"/>
    </row>
    <row r="324" spans="20:20" x14ac:dyDescent="0.25">
      <c r="T324" s="2"/>
    </row>
    <row r="325" spans="20:20" x14ac:dyDescent="0.25">
      <c r="T325" s="2"/>
    </row>
    <row r="326" spans="20:20" x14ac:dyDescent="0.25">
      <c r="T326" s="2"/>
    </row>
    <row r="327" spans="20:20" x14ac:dyDescent="0.25">
      <c r="T327" s="2"/>
    </row>
    <row r="328" spans="20:20" x14ac:dyDescent="0.25">
      <c r="T328" s="2"/>
    </row>
    <row r="329" spans="20:20" x14ac:dyDescent="0.25">
      <c r="T329" s="2"/>
    </row>
    <row r="330" spans="20:20" x14ac:dyDescent="0.25">
      <c r="T330" s="2"/>
    </row>
    <row r="331" spans="20:20" x14ac:dyDescent="0.25">
      <c r="T331" s="2"/>
    </row>
    <row r="332" spans="20:20" x14ac:dyDescent="0.25">
      <c r="T332" s="2"/>
    </row>
    <row r="333" spans="20:20" x14ac:dyDescent="0.25">
      <c r="T333" s="2"/>
    </row>
    <row r="334" spans="20:20" x14ac:dyDescent="0.25">
      <c r="T334" s="2"/>
    </row>
    <row r="335" spans="20:20" x14ac:dyDescent="0.25">
      <c r="T335" s="2"/>
    </row>
    <row r="336" spans="20:20" x14ac:dyDescent="0.25">
      <c r="T336" s="2"/>
    </row>
    <row r="337" spans="20:20" x14ac:dyDescent="0.25">
      <c r="T337" s="2"/>
    </row>
    <row r="338" spans="20:20" x14ac:dyDescent="0.25">
      <c r="T338" s="2"/>
    </row>
    <row r="339" spans="20:20" x14ac:dyDescent="0.25">
      <c r="T339" s="2"/>
    </row>
    <row r="340" spans="20:20" x14ac:dyDescent="0.25">
      <c r="T340" s="2"/>
    </row>
    <row r="341" spans="20:20" x14ac:dyDescent="0.25">
      <c r="T341" s="2"/>
    </row>
    <row r="342" spans="20:20" x14ac:dyDescent="0.25">
      <c r="T342" s="2"/>
    </row>
    <row r="343" spans="20:20" x14ac:dyDescent="0.25">
      <c r="T343" s="2"/>
    </row>
    <row r="344" spans="20:20" x14ac:dyDescent="0.25">
      <c r="T344" s="2"/>
    </row>
    <row r="345" spans="20:20" x14ac:dyDescent="0.25">
      <c r="T345" s="2"/>
    </row>
    <row r="346" spans="20:20" x14ac:dyDescent="0.25">
      <c r="T346" s="2"/>
    </row>
    <row r="347" spans="20:20" x14ac:dyDescent="0.25">
      <c r="T347" s="2"/>
    </row>
    <row r="348" spans="20:20" x14ac:dyDescent="0.25">
      <c r="T348" s="2"/>
    </row>
    <row r="349" spans="20:20" x14ac:dyDescent="0.25">
      <c r="T349" s="2"/>
    </row>
    <row r="350" spans="20:20" x14ac:dyDescent="0.25">
      <c r="T350" s="2"/>
    </row>
    <row r="351" spans="20:20" x14ac:dyDescent="0.25">
      <c r="T351" s="2"/>
    </row>
    <row r="352" spans="20:20" x14ac:dyDescent="0.25">
      <c r="T352" s="2"/>
    </row>
    <row r="353" spans="20:20" x14ac:dyDescent="0.25">
      <c r="T353" s="2"/>
    </row>
    <row r="354" spans="20:20" x14ac:dyDescent="0.25">
      <c r="T354" s="2"/>
    </row>
    <row r="355" spans="20:20" x14ac:dyDescent="0.25">
      <c r="T355" s="2"/>
    </row>
    <row r="356" spans="20:20" x14ac:dyDescent="0.25">
      <c r="T356" s="2"/>
    </row>
    <row r="357" spans="20:20" x14ac:dyDescent="0.25">
      <c r="T357" s="2"/>
    </row>
    <row r="358" spans="20:20" x14ac:dyDescent="0.25">
      <c r="T358" s="2"/>
    </row>
    <row r="359" spans="20:20" x14ac:dyDescent="0.25">
      <c r="T359" s="2"/>
    </row>
    <row r="360" spans="20:20" x14ac:dyDescent="0.25">
      <c r="T360" s="2"/>
    </row>
    <row r="361" spans="20:20" x14ac:dyDescent="0.25">
      <c r="T361" s="2"/>
    </row>
    <row r="362" spans="20:20" x14ac:dyDescent="0.25">
      <c r="T362" s="2"/>
    </row>
    <row r="363" spans="20:20" x14ac:dyDescent="0.25">
      <c r="T363" s="2"/>
    </row>
    <row r="364" spans="20:20" x14ac:dyDescent="0.25">
      <c r="T364" s="2"/>
    </row>
    <row r="365" spans="20:20" x14ac:dyDescent="0.25">
      <c r="T365" s="2"/>
    </row>
    <row r="366" spans="20:20" x14ac:dyDescent="0.25">
      <c r="T366" s="2"/>
    </row>
    <row r="367" spans="20:20" x14ac:dyDescent="0.25">
      <c r="T367" s="2"/>
    </row>
    <row r="368" spans="20:20" x14ac:dyDescent="0.25">
      <c r="T368" s="2"/>
    </row>
    <row r="369" spans="20:20" x14ac:dyDescent="0.25">
      <c r="T369" s="2"/>
    </row>
    <row r="370" spans="20:20" x14ac:dyDescent="0.25">
      <c r="T370" s="2"/>
    </row>
    <row r="371" spans="20:20" x14ac:dyDescent="0.25">
      <c r="T371" s="2"/>
    </row>
    <row r="372" spans="20:20" x14ac:dyDescent="0.25">
      <c r="T372" s="2"/>
    </row>
    <row r="373" spans="20:20" x14ac:dyDescent="0.25">
      <c r="T373" s="2"/>
    </row>
    <row r="374" spans="20:20" x14ac:dyDescent="0.25">
      <c r="T374" s="2"/>
    </row>
    <row r="375" spans="20:20" x14ac:dyDescent="0.25">
      <c r="T375" s="2"/>
    </row>
    <row r="376" spans="20:20" x14ac:dyDescent="0.25">
      <c r="T376" s="2"/>
    </row>
    <row r="377" spans="20:20" x14ac:dyDescent="0.25">
      <c r="T377" s="2"/>
    </row>
    <row r="378" spans="20:20" x14ac:dyDescent="0.25">
      <c r="T378" s="2"/>
    </row>
    <row r="379" spans="20:20" x14ac:dyDescent="0.25">
      <c r="T379" s="2"/>
    </row>
    <row r="380" spans="20:20" x14ac:dyDescent="0.25">
      <c r="T380" s="2"/>
    </row>
    <row r="381" spans="20:20" x14ac:dyDescent="0.25">
      <c r="T381" s="2"/>
    </row>
    <row r="382" spans="20:20" x14ac:dyDescent="0.25">
      <c r="T382" s="2"/>
    </row>
    <row r="383" spans="20:20" x14ac:dyDescent="0.25">
      <c r="T383" s="2"/>
    </row>
    <row r="384" spans="20:20" x14ac:dyDescent="0.25">
      <c r="T384" s="2"/>
    </row>
    <row r="385" spans="20:20" x14ac:dyDescent="0.25">
      <c r="T385" s="2"/>
    </row>
    <row r="386" spans="20:20" x14ac:dyDescent="0.25">
      <c r="T386" s="2"/>
    </row>
    <row r="387" spans="20:20" x14ac:dyDescent="0.25">
      <c r="T387" s="2"/>
    </row>
    <row r="388" spans="20:20" x14ac:dyDescent="0.25">
      <c r="T388" s="2"/>
    </row>
    <row r="389" spans="20:20" x14ac:dyDescent="0.25">
      <c r="T389" s="2"/>
    </row>
    <row r="390" spans="20:20" x14ac:dyDescent="0.25">
      <c r="T390" s="2"/>
    </row>
    <row r="391" spans="20:20" x14ac:dyDescent="0.25">
      <c r="T391" s="2"/>
    </row>
    <row r="392" spans="20:20" x14ac:dyDescent="0.25">
      <c r="T392" s="2"/>
    </row>
    <row r="393" spans="20:20" x14ac:dyDescent="0.25">
      <c r="T393" s="2"/>
    </row>
    <row r="394" spans="20:20" x14ac:dyDescent="0.25">
      <c r="T394" s="2"/>
    </row>
    <row r="395" spans="20:20" x14ac:dyDescent="0.25">
      <c r="T395" s="2"/>
    </row>
    <row r="396" spans="20:20" x14ac:dyDescent="0.25">
      <c r="T396" s="2"/>
    </row>
    <row r="397" spans="20:20" x14ac:dyDescent="0.25">
      <c r="T397" s="2"/>
    </row>
    <row r="398" spans="20:20" x14ac:dyDescent="0.25">
      <c r="T398" s="2"/>
    </row>
    <row r="399" spans="20:20" x14ac:dyDescent="0.25">
      <c r="T399" s="2"/>
    </row>
    <row r="400" spans="20:20" x14ac:dyDescent="0.25">
      <c r="T400" s="2"/>
    </row>
    <row r="401" spans="20:20" x14ac:dyDescent="0.25">
      <c r="T401" s="2"/>
    </row>
    <row r="402" spans="20:20" x14ac:dyDescent="0.25">
      <c r="T402" s="2"/>
    </row>
    <row r="403" spans="20:20" x14ac:dyDescent="0.25">
      <c r="T403" s="2"/>
    </row>
    <row r="404" spans="20:20" x14ac:dyDescent="0.25">
      <c r="T404" s="2"/>
    </row>
    <row r="405" spans="20:20" x14ac:dyDescent="0.25">
      <c r="T405" s="2"/>
    </row>
    <row r="406" spans="20:20" x14ac:dyDescent="0.25">
      <c r="T406" s="2"/>
    </row>
    <row r="407" spans="20:20" x14ac:dyDescent="0.25">
      <c r="T407" s="2"/>
    </row>
    <row r="408" spans="20:20" x14ac:dyDescent="0.25">
      <c r="T408" s="2"/>
    </row>
    <row r="409" spans="20:20" x14ac:dyDescent="0.25">
      <c r="T409" s="2"/>
    </row>
    <row r="410" spans="20:20" x14ac:dyDescent="0.25">
      <c r="T410" s="2"/>
    </row>
    <row r="411" spans="20:20" x14ac:dyDescent="0.25">
      <c r="T411" s="2"/>
    </row>
    <row r="412" spans="20:20" x14ac:dyDescent="0.25">
      <c r="T412" s="2"/>
    </row>
    <row r="413" spans="20:20" x14ac:dyDescent="0.25">
      <c r="T413" s="2"/>
    </row>
    <row r="414" spans="20:20" x14ac:dyDescent="0.25">
      <c r="T414" s="2"/>
    </row>
    <row r="415" spans="20:20" x14ac:dyDescent="0.25">
      <c r="T415" s="2"/>
    </row>
    <row r="416" spans="20:20" x14ac:dyDescent="0.25">
      <c r="T416" s="2"/>
    </row>
    <row r="417" spans="20:20" x14ac:dyDescent="0.25">
      <c r="T417" s="2"/>
    </row>
    <row r="418" spans="20:20" x14ac:dyDescent="0.25">
      <c r="T418" s="2"/>
    </row>
    <row r="419" spans="20:20" x14ac:dyDescent="0.25">
      <c r="T419" s="2"/>
    </row>
    <row r="420" spans="20:20" x14ac:dyDescent="0.25">
      <c r="T420" s="2"/>
    </row>
    <row r="421" spans="20:20" x14ac:dyDescent="0.25">
      <c r="T421" s="2"/>
    </row>
    <row r="422" spans="20:20" x14ac:dyDescent="0.25">
      <c r="T422" s="2"/>
    </row>
    <row r="423" spans="20:20" x14ac:dyDescent="0.25">
      <c r="T423" s="2"/>
    </row>
    <row r="424" spans="20:20" x14ac:dyDescent="0.25">
      <c r="T424" s="2"/>
    </row>
    <row r="425" spans="20:20" x14ac:dyDescent="0.25">
      <c r="T425" s="2"/>
    </row>
    <row r="426" spans="20:20" x14ac:dyDescent="0.25">
      <c r="T426" s="2"/>
    </row>
    <row r="427" spans="20:20" x14ac:dyDescent="0.25">
      <c r="T427" s="2"/>
    </row>
    <row r="428" spans="20:20" x14ac:dyDescent="0.25">
      <c r="T428" s="2"/>
    </row>
    <row r="429" spans="20:20" x14ac:dyDescent="0.25">
      <c r="T429" s="2"/>
    </row>
    <row r="430" spans="20:20" x14ac:dyDescent="0.25">
      <c r="T430" s="2"/>
    </row>
    <row r="431" spans="20:20" x14ac:dyDescent="0.25">
      <c r="T431" s="2"/>
    </row>
    <row r="432" spans="20:20" x14ac:dyDescent="0.25">
      <c r="T432" s="2"/>
    </row>
    <row r="433" spans="20:20" x14ac:dyDescent="0.25">
      <c r="T433" s="2"/>
    </row>
    <row r="434" spans="20:20" x14ac:dyDescent="0.25">
      <c r="T434" s="2"/>
    </row>
    <row r="435" spans="20:20" x14ac:dyDescent="0.25">
      <c r="T435" s="2"/>
    </row>
    <row r="436" spans="20:20" x14ac:dyDescent="0.25">
      <c r="T436" s="2"/>
    </row>
    <row r="437" spans="20:20" x14ac:dyDescent="0.25">
      <c r="T437" s="2"/>
    </row>
    <row r="438" spans="20:20" x14ac:dyDescent="0.25">
      <c r="T438" s="2"/>
    </row>
    <row r="439" spans="20:20" x14ac:dyDescent="0.25">
      <c r="T439" s="2"/>
    </row>
    <row r="440" spans="20:20" x14ac:dyDescent="0.25">
      <c r="T440" s="2"/>
    </row>
    <row r="441" spans="20:20" x14ac:dyDescent="0.25">
      <c r="T441" s="2"/>
    </row>
    <row r="442" spans="20:20" x14ac:dyDescent="0.25">
      <c r="T442" s="2"/>
    </row>
    <row r="443" spans="20:20" x14ac:dyDescent="0.25">
      <c r="T443" s="2"/>
    </row>
    <row r="444" spans="20:20" x14ac:dyDescent="0.25">
      <c r="T444" s="2"/>
    </row>
    <row r="445" spans="20:20" x14ac:dyDescent="0.25">
      <c r="T445" s="2"/>
    </row>
    <row r="446" spans="20:20" x14ac:dyDescent="0.25">
      <c r="T446" s="2"/>
    </row>
    <row r="447" spans="20:20" x14ac:dyDescent="0.25">
      <c r="T447" s="2"/>
    </row>
    <row r="448" spans="20:20" x14ac:dyDescent="0.25">
      <c r="T448" s="2"/>
    </row>
    <row r="449" spans="20:20" x14ac:dyDescent="0.25">
      <c r="T449" s="2"/>
    </row>
    <row r="450" spans="20:20" x14ac:dyDescent="0.25">
      <c r="T450" s="2"/>
    </row>
    <row r="451" spans="20:20" x14ac:dyDescent="0.25">
      <c r="T451" s="2"/>
    </row>
    <row r="452" spans="20:20" x14ac:dyDescent="0.25">
      <c r="T452" s="2"/>
    </row>
    <row r="453" spans="20:20" x14ac:dyDescent="0.25">
      <c r="T453" s="2"/>
    </row>
    <row r="454" spans="20:20" x14ac:dyDescent="0.25">
      <c r="T454" s="2"/>
    </row>
    <row r="455" spans="20:20" x14ac:dyDescent="0.25">
      <c r="T455" s="2"/>
    </row>
    <row r="456" spans="20:20" x14ac:dyDescent="0.25">
      <c r="T456" s="2"/>
    </row>
    <row r="457" spans="20:20" x14ac:dyDescent="0.25">
      <c r="T457" s="2"/>
    </row>
    <row r="458" spans="20:20" x14ac:dyDescent="0.25">
      <c r="T458" s="2"/>
    </row>
    <row r="459" spans="20:20" x14ac:dyDescent="0.25">
      <c r="T459" s="2"/>
    </row>
    <row r="460" spans="20:20" x14ac:dyDescent="0.25">
      <c r="T460" s="2"/>
    </row>
    <row r="461" spans="20:20" x14ac:dyDescent="0.25">
      <c r="T461" s="2"/>
    </row>
    <row r="462" spans="20:20" x14ac:dyDescent="0.25">
      <c r="T462" s="2"/>
    </row>
    <row r="463" spans="20:20" x14ac:dyDescent="0.25">
      <c r="T463" s="2"/>
    </row>
    <row r="464" spans="20:20" x14ac:dyDescent="0.25">
      <c r="T464" s="2"/>
    </row>
    <row r="465" spans="20:20" x14ac:dyDescent="0.25">
      <c r="T465" s="2"/>
    </row>
    <row r="466" spans="20:20" x14ac:dyDescent="0.25">
      <c r="T466" s="2"/>
    </row>
    <row r="467" spans="20:20" x14ac:dyDescent="0.25">
      <c r="T467" s="2"/>
    </row>
    <row r="468" spans="20:20" x14ac:dyDescent="0.25">
      <c r="T468" s="2"/>
    </row>
    <row r="469" spans="20:20" x14ac:dyDescent="0.25">
      <c r="T469" s="2"/>
    </row>
    <row r="470" spans="20:20" x14ac:dyDescent="0.25">
      <c r="T470" s="2"/>
    </row>
    <row r="471" spans="20:20" x14ac:dyDescent="0.25">
      <c r="T471" s="2"/>
    </row>
    <row r="472" spans="20:20" x14ac:dyDescent="0.25">
      <c r="T472" s="2"/>
    </row>
    <row r="473" spans="20:20" x14ac:dyDescent="0.25">
      <c r="T473" s="2"/>
    </row>
    <row r="474" spans="20:20" x14ac:dyDescent="0.25">
      <c r="T474" s="2"/>
    </row>
    <row r="475" spans="20:20" x14ac:dyDescent="0.25">
      <c r="T475" s="2"/>
    </row>
    <row r="476" spans="20:20" x14ac:dyDescent="0.25">
      <c r="T476" s="2"/>
    </row>
    <row r="477" spans="20:20" x14ac:dyDescent="0.25">
      <c r="T477" s="2"/>
    </row>
    <row r="478" spans="20:20" x14ac:dyDescent="0.25">
      <c r="T478" s="2"/>
    </row>
    <row r="479" spans="20:20" x14ac:dyDescent="0.25">
      <c r="T479" s="2"/>
    </row>
    <row r="480" spans="20:20" x14ac:dyDescent="0.25">
      <c r="T480" s="2"/>
    </row>
    <row r="481" spans="20:20" x14ac:dyDescent="0.25">
      <c r="T481" s="2"/>
    </row>
    <row r="482" spans="20:20" x14ac:dyDescent="0.25">
      <c r="T482" s="2"/>
    </row>
    <row r="483" spans="20:20" x14ac:dyDescent="0.25">
      <c r="T483" s="2"/>
    </row>
    <row r="484" spans="20:20" x14ac:dyDescent="0.25">
      <c r="T484" s="2"/>
    </row>
    <row r="485" spans="20:20" x14ac:dyDescent="0.25">
      <c r="T485" s="2"/>
    </row>
    <row r="486" spans="20:20" x14ac:dyDescent="0.25">
      <c r="T486" s="2"/>
    </row>
    <row r="487" spans="20:20" x14ac:dyDescent="0.25">
      <c r="T487" s="2"/>
    </row>
    <row r="488" spans="20:20" x14ac:dyDescent="0.25">
      <c r="T488" s="2"/>
    </row>
    <row r="489" spans="20:20" x14ac:dyDescent="0.25">
      <c r="T489" s="2"/>
    </row>
    <row r="490" spans="20:20" x14ac:dyDescent="0.25">
      <c r="T490" s="2"/>
    </row>
    <row r="491" spans="20:20" x14ac:dyDescent="0.25">
      <c r="T491" s="2"/>
    </row>
    <row r="492" spans="20:20" x14ac:dyDescent="0.25">
      <c r="T492" s="2"/>
    </row>
    <row r="493" spans="20:20" x14ac:dyDescent="0.25">
      <c r="T493" s="2"/>
    </row>
    <row r="494" spans="20:20" x14ac:dyDescent="0.25">
      <c r="T494" s="2"/>
    </row>
    <row r="495" spans="20:20" x14ac:dyDescent="0.25">
      <c r="T495" s="2"/>
    </row>
    <row r="496" spans="20:20" x14ac:dyDescent="0.25">
      <c r="T496" s="2"/>
    </row>
    <row r="497" spans="20:20" x14ac:dyDescent="0.25">
      <c r="T497" s="2"/>
    </row>
    <row r="498" spans="20:20" x14ac:dyDescent="0.25">
      <c r="T498" s="2"/>
    </row>
    <row r="499" spans="20:20" x14ac:dyDescent="0.25">
      <c r="T499" s="2"/>
    </row>
    <row r="500" spans="20:20" x14ac:dyDescent="0.25">
      <c r="T500" s="2"/>
    </row>
    <row r="501" spans="20:20" x14ac:dyDescent="0.25">
      <c r="T501" s="2"/>
    </row>
    <row r="502" spans="20:20" x14ac:dyDescent="0.25">
      <c r="T502" s="2"/>
    </row>
    <row r="503" spans="20:20" x14ac:dyDescent="0.25">
      <c r="T503" s="2"/>
    </row>
    <row r="504" spans="20:20" x14ac:dyDescent="0.25">
      <c r="T504" s="2"/>
    </row>
    <row r="505" spans="20:20" x14ac:dyDescent="0.25">
      <c r="T505" s="2"/>
    </row>
    <row r="506" spans="20:20" x14ac:dyDescent="0.25">
      <c r="T506" s="2"/>
    </row>
    <row r="507" spans="20:20" x14ac:dyDescent="0.25">
      <c r="T507" s="2"/>
    </row>
    <row r="508" spans="20:20" x14ac:dyDescent="0.25">
      <c r="T508" s="2"/>
    </row>
    <row r="509" spans="20:20" x14ac:dyDescent="0.25">
      <c r="T509" s="2"/>
    </row>
    <row r="510" spans="20:20" x14ac:dyDescent="0.25">
      <c r="T510" s="2"/>
    </row>
    <row r="511" spans="20:20" x14ac:dyDescent="0.25">
      <c r="T511" s="2"/>
    </row>
    <row r="512" spans="20:20" x14ac:dyDescent="0.25">
      <c r="T512" s="2"/>
    </row>
    <row r="513" spans="20:20" x14ac:dyDescent="0.25">
      <c r="T513" s="2"/>
    </row>
    <row r="514" spans="20:20" x14ac:dyDescent="0.25">
      <c r="T514" s="2"/>
    </row>
    <row r="515" spans="20:20" x14ac:dyDescent="0.25">
      <c r="T515" s="2"/>
    </row>
    <row r="516" spans="20:20" x14ac:dyDescent="0.25">
      <c r="T516" s="2"/>
    </row>
    <row r="517" spans="20:20" x14ac:dyDescent="0.25">
      <c r="T517" s="2"/>
    </row>
    <row r="518" spans="20:20" x14ac:dyDescent="0.25">
      <c r="T518" s="2"/>
    </row>
    <row r="519" spans="20:20" x14ac:dyDescent="0.25">
      <c r="T519" s="2"/>
    </row>
    <row r="520" spans="20:20" x14ac:dyDescent="0.25">
      <c r="T520" s="2"/>
    </row>
    <row r="521" spans="20:20" x14ac:dyDescent="0.25">
      <c r="T521" s="2"/>
    </row>
    <row r="522" spans="20:20" x14ac:dyDescent="0.25">
      <c r="T522" s="2"/>
    </row>
    <row r="523" spans="20:20" x14ac:dyDescent="0.25">
      <c r="T523" s="2"/>
    </row>
    <row r="524" spans="20:20" x14ac:dyDescent="0.25">
      <c r="T524" s="2"/>
    </row>
    <row r="525" spans="20:20" x14ac:dyDescent="0.25">
      <c r="T525" s="2"/>
    </row>
    <row r="526" spans="20:20" x14ac:dyDescent="0.25">
      <c r="T526" s="2"/>
    </row>
    <row r="527" spans="20:20" x14ac:dyDescent="0.25">
      <c r="T527" s="2"/>
    </row>
    <row r="528" spans="20:20" x14ac:dyDescent="0.25">
      <c r="T528" s="2"/>
    </row>
    <row r="529" spans="20:20" x14ac:dyDescent="0.25">
      <c r="T529" s="2"/>
    </row>
    <row r="530" spans="20:20" x14ac:dyDescent="0.25">
      <c r="T530" s="2"/>
    </row>
    <row r="531" spans="20:20" x14ac:dyDescent="0.25">
      <c r="T531" s="2"/>
    </row>
    <row r="532" spans="20:20" x14ac:dyDescent="0.25">
      <c r="T532" s="2"/>
    </row>
    <row r="533" spans="20:20" x14ac:dyDescent="0.25">
      <c r="T533" s="2"/>
    </row>
    <row r="534" spans="20:20" x14ac:dyDescent="0.25">
      <c r="T534" s="2"/>
    </row>
    <row r="535" spans="20:20" x14ac:dyDescent="0.25">
      <c r="T535" s="2"/>
    </row>
    <row r="536" spans="20:20" x14ac:dyDescent="0.25">
      <c r="T536" s="2"/>
    </row>
    <row r="537" spans="20:20" x14ac:dyDescent="0.25">
      <c r="T537" s="2"/>
    </row>
    <row r="538" spans="20:20" x14ac:dyDescent="0.25">
      <c r="T538" s="2"/>
    </row>
    <row r="539" spans="20:20" x14ac:dyDescent="0.25">
      <c r="T539" s="2"/>
    </row>
    <row r="540" spans="20:20" x14ac:dyDescent="0.25">
      <c r="T540" s="2"/>
    </row>
    <row r="541" spans="20:20" x14ac:dyDescent="0.25">
      <c r="T541" s="2"/>
    </row>
    <row r="542" spans="20:20" x14ac:dyDescent="0.25">
      <c r="T542" s="2"/>
    </row>
    <row r="543" spans="20:20" x14ac:dyDescent="0.25">
      <c r="T543" s="2"/>
    </row>
    <row r="544" spans="20:20" x14ac:dyDescent="0.25">
      <c r="T544" s="2"/>
    </row>
    <row r="545" spans="20:20" x14ac:dyDescent="0.25">
      <c r="T545" s="2"/>
    </row>
    <row r="546" spans="20:20" x14ac:dyDescent="0.25">
      <c r="T546" s="2"/>
    </row>
    <row r="547" spans="20:20" x14ac:dyDescent="0.25">
      <c r="T547" s="2"/>
    </row>
    <row r="548" spans="20:20" x14ac:dyDescent="0.25">
      <c r="T548" s="2"/>
    </row>
    <row r="549" spans="20:20" x14ac:dyDescent="0.25">
      <c r="T549" s="2"/>
    </row>
    <row r="550" spans="20:20" x14ac:dyDescent="0.25">
      <c r="T550" s="2"/>
    </row>
    <row r="551" spans="20:20" x14ac:dyDescent="0.25">
      <c r="T551" s="2"/>
    </row>
    <row r="552" spans="20:20" x14ac:dyDescent="0.25">
      <c r="T552" s="2"/>
    </row>
    <row r="553" spans="20:20" x14ac:dyDescent="0.25">
      <c r="T553" s="2"/>
    </row>
    <row r="554" spans="20:20" x14ac:dyDescent="0.25">
      <c r="T554" s="2"/>
    </row>
    <row r="555" spans="20:20" x14ac:dyDescent="0.25">
      <c r="T555" s="2"/>
    </row>
    <row r="556" spans="20:20" x14ac:dyDescent="0.25">
      <c r="T556" s="2"/>
    </row>
    <row r="557" spans="20:20" x14ac:dyDescent="0.25">
      <c r="T557" s="2"/>
    </row>
    <row r="558" spans="20:20" x14ac:dyDescent="0.25">
      <c r="T558" s="2"/>
    </row>
    <row r="559" spans="20:20" x14ac:dyDescent="0.25">
      <c r="T559" s="2"/>
    </row>
    <row r="560" spans="20:20" x14ac:dyDescent="0.25">
      <c r="T560" s="2"/>
    </row>
    <row r="561" spans="20:20" x14ac:dyDescent="0.25">
      <c r="T561" s="2"/>
    </row>
    <row r="562" spans="20:20" x14ac:dyDescent="0.25">
      <c r="T562" s="2"/>
    </row>
    <row r="563" spans="20:20" x14ac:dyDescent="0.25">
      <c r="T563" s="2"/>
    </row>
    <row r="564" spans="20:20" x14ac:dyDescent="0.25">
      <c r="T564" s="2"/>
    </row>
    <row r="565" spans="20:20" x14ac:dyDescent="0.25">
      <c r="T565" s="2"/>
    </row>
    <row r="566" spans="20:20" x14ac:dyDescent="0.25">
      <c r="T566" s="2"/>
    </row>
    <row r="567" spans="20:20" x14ac:dyDescent="0.25">
      <c r="T567" s="2"/>
    </row>
    <row r="568" spans="20:20" x14ac:dyDescent="0.25">
      <c r="T568" s="2"/>
    </row>
    <row r="569" spans="20:20" x14ac:dyDescent="0.25">
      <c r="T569" s="2"/>
    </row>
    <row r="570" spans="20:20" x14ac:dyDescent="0.25">
      <c r="T570" s="2"/>
    </row>
    <row r="571" spans="20:20" x14ac:dyDescent="0.25">
      <c r="T571" s="2"/>
    </row>
    <row r="572" spans="20:20" x14ac:dyDescent="0.25">
      <c r="T572" s="2"/>
    </row>
    <row r="573" spans="20:20" x14ac:dyDescent="0.25">
      <c r="T573" s="2"/>
    </row>
    <row r="574" spans="20:20" x14ac:dyDescent="0.25">
      <c r="T574" s="2"/>
    </row>
    <row r="575" spans="20:20" x14ac:dyDescent="0.25">
      <c r="T575" s="2"/>
    </row>
    <row r="576" spans="20:20" x14ac:dyDescent="0.25">
      <c r="T576" s="2"/>
    </row>
    <row r="577" spans="20:20" x14ac:dyDescent="0.25">
      <c r="T577" s="2"/>
    </row>
    <row r="578" spans="20:20" x14ac:dyDescent="0.25">
      <c r="T578" s="2"/>
    </row>
    <row r="579" spans="20:20" x14ac:dyDescent="0.25">
      <c r="T579" s="2"/>
    </row>
    <row r="580" spans="20:20" x14ac:dyDescent="0.25">
      <c r="T580" s="2"/>
    </row>
    <row r="581" spans="20:20" x14ac:dyDescent="0.25">
      <c r="T581" s="2"/>
    </row>
    <row r="582" spans="20:20" x14ac:dyDescent="0.25">
      <c r="T582" s="2"/>
    </row>
    <row r="583" spans="20:20" x14ac:dyDescent="0.25">
      <c r="T583" s="2"/>
    </row>
    <row r="584" spans="20:20" x14ac:dyDescent="0.25">
      <c r="T584" s="2"/>
    </row>
    <row r="585" spans="20:20" x14ac:dyDescent="0.25">
      <c r="T585" s="2"/>
    </row>
    <row r="586" spans="20:20" x14ac:dyDescent="0.25">
      <c r="T586" s="2"/>
    </row>
    <row r="587" spans="20:20" x14ac:dyDescent="0.25">
      <c r="T587" s="2"/>
    </row>
    <row r="588" spans="20:20" x14ac:dyDescent="0.25">
      <c r="T588" s="2"/>
    </row>
    <row r="589" spans="20:20" x14ac:dyDescent="0.25">
      <c r="T589" s="2"/>
    </row>
    <row r="590" spans="20:20" x14ac:dyDescent="0.25">
      <c r="T590" s="2"/>
    </row>
    <row r="591" spans="20:20" x14ac:dyDescent="0.25">
      <c r="T591" s="2"/>
    </row>
    <row r="592" spans="20:20" x14ac:dyDescent="0.25">
      <c r="T592" s="2"/>
    </row>
    <row r="593" spans="20:20" x14ac:dyDescent="0.25">
      <c r="T593" s="2"/>
    </row>
    <row r="594" spans="20:20" x14ac:dyDescent="0.25">
      <c r="T594" s="2"/>
    </row>
    <row r="595" spans="20:20" x14ac:dyDescent="0.25">
      <c r="T595" s="2"/>
    </row>
    <row r="596" spans="20:20" x14ac:dyDescent="0.25">
      <c r="T596" s="2"/>
    </row>
    <row r="597" spans="20:20" x14ac:dyDescent="0.25">
      <c r="T597" s="2"/>
    </row>
    <row r="598" spans="20:20" x14ac:dyDescent="0.25">
      <c r="T598" s="2"/>
    </row>
    <row r="599" spans="20:20" x14ac:dyDescent="0.25">
      <c r="T599" s="2"/>
    </row>
    <row r="600" spans="20:20" x14ac:dyDescent="0.25">
      <c r="T600" s="2"/>
    </row>
    <row r="601" spans="20:20" x14ac:dyDescent="0.25">
      <c r="T601" s="2"/>
    </row>
    <row r="602" spans="20:20" x14ac:dyDescent="0.25">
      <c r="T602" s="2"/>
    </row>
    <row r="603" spans="20:20" x14ac:dyDescent="0.25">
      <c r="T603" s="2"/>
    </row>
    <row r="604" spans="20:20" x14ac:dyDescent="0.25">
      <c r="T604" s="2"/>
    </row>
    <row r="605" spans="20:20" x14ac:dyDescent="0.25">
      <c r="T605" s="2"/>
    </row>
    <row r="606" spans="20:20" x14ac:dyDescent="0.25">
      <c r="T606" s="2"/>
    </row>
    <row r="607" spans="20:20" x14ac:dyDescent="0.25">
      <c r="T607" s="2"/>
    </row>
    <row r="608" spans="20:20" x14ac:dyDescent="0.25">
      <c r="T608" s="2"/>
    </row>
    <row r="609" spans="20:20" x14ac:dyDescent="0.25">
      <c r="T609" s="2"/>
    </row>
    <row r="610" spans="20:20" x14ac:dyDescent="0.25">
      <c r="T610" s="2"/>
    </row>
    <row r="611" spans="20:20" x14ac:dyDescent="0.25">
      <c r="T611" s="2"/>
    </row>
    <row r="612" spans="20:20" x14ac:dyDescent="0.25">
      <c r="T612" s="2"/>
    </row>
    <row r="613" spans="20:20" x14ac:dyDescent="0.25">
      <c r="T613" s="2"/>
    </row>
    <row r="614" spans="20:20" x14ac:dyDescent="0.25">
      <c r="T614" s="2"/>
    </row>
    <row r="615" spans="20:20" x14ac:dyDescent="0.25">
      <c r="T615" s="2"/>
    </row>
    <row r="616" spans="20:20" x14ac:dyDescent="0.25">
      <c r="T616" s="2"/>
    </row>
    <row r="617" spans="20:20" x14ac:dyDescent="0.25">
      <c r="T617" s="2"/>
    </row>
    <row r="618" spans="20:20" x14ac:dyDescent="0.25">
      <c r="T618" s="2"/>
    </row>
    <row r="619" spans="20:20" x14ac:dyDescent="0.25">
      <c r="T619" s="2"/>
    </row>
    <row r="620" spans="20:20" x14ac:dyDescent="0.25">
      <c r="T620" s="2"/>
    </row>
    <row r="621" spans="20:20" x14ac:dyDescent="0.25">
      <c r="T621" s="2"/>
    </row>
    <row r="622" spans="20:20" x14ac:dyDescent="0.25">
      <c r="T622" s="2"/>
    </row>
    <row r="623" spans="20:20" x14ac:dyDescent="0.25">
      <c r="T623" s="2"/>
    </row>
    <row r="624" spans="20:20" x14ac:dyDescent="0.25">
      <c r="T624" s="2"/>
    </row>
    <row r="625" spans="20:20" x14ac:dyDescent="0.25">
      <c r="T625" s="2"/>
    </row>
    <row r="626" spans="20:20" x14ac:dyDescent="0.25">
      <c r="T626" s="2"/>
    </row>
    <row r="627" spans="20:20" x14ac:dyDescent="0.25">
      <c r="T627" s="2"/>
    </row>
    <row r="628" spans="20:20" x14ac:dyDescent="0.25">
      <c r="T628" s="2"/>
    </row>
    <row r="629" spans="20:20" x14ac:dyDescent="0.25">
      <c r="T629" s="2"/>
    </row>
    <row r="630" spans="20:20" x14ac:dyDescent="0.25">
      <c r="T630" s="2"/>
    </row>
    <row r="631" spans="20:20" x14ac:dyDescent="0.25">
      <c r="T631" s="2"/>
    </row>
    <row r="632" spans="20:20" x14ac:dyDescent="0.25">
      <c r="T632" s="2"/>
    </row>
    <row r="633" spans="20:20" x14ac:dyDescent="0.25">
      <c r="T633" s="2"/>
    </row>
    <row r="634" spans="20:20" x14ac:dyDescent="0.25">
      <c r="T634" s="2"/>
    </row>
    <row r="635" spans="20:20" x14ac:dyDescent="0.25">
      <c r="T635" s="2"/>
    </row>
    <row r="636" spans="20:20" x14ac:dyDescent="0.25">
      <c r="T636" s="2"/>
    </row>
    <row r="637" spans="20:20" x14ac:dyDescent="0.25">
      <c r="T637" s="2"/>
    </row>
    <row r="638" spans="20:20" x14ac:dyDescent="0.25">
      <c r="T638" s="2"/>
    </row>
    <row r="639" spans="20:20" x14ac:dyDescent="0.25">
      <c r="T639" s="2"/>
    </row>
    <row r="640" spans="20:20" x14ac:dyDescent="0.25">
      <c r="T640" s="2"/>
    </row>
    <row r="641" spans="20:20" x14ac:dyDescent="0.25">
      <c r="T641" s="2"/>
    </row>
    <row r="642" spans="20:20" x14ac:dyDescent="0.25">
      <c r="T642" s="2"/>
    </row>
    <row r="643" spans="20:20" x14ac:dyDescent="0.25">
      <c r="T643" s="2"/>
    </row>
    <row r="644" spans="20:20" x14ac:dyDescent="0.25">
      <c r="T644" s="2"/>
    </row>
    <row r="645" spans="20:20" x14ac:dyDescent="0.25">
      <c r="T645" s="2"/>
    </row>
    <row r="646" spans="20:20" x14ac:dyDescent="0.25">
      <c r="T646" s="2"/>
    </row>
    <row r="647" spans="20:20" x14ac:dyDescent="0.25">
      <c r="T647" s="2"/>
    </row>
    <row r="648" spans="20:20" x14ac:dyDescent="0.25">
      <c r="T648" s="2"/>
    </row>
    <row r="649" spans="20:20" x14ac:dyDescent="0.25">
      <c r="T649" s="2"/>
    </row>
    <row r="650" spans="20:20" x14ac:dyDescent="0.25">
      <c r="T650" s="2"/>
    </row>
    <row r="651" spans="20:20" x14ac:dyDescent="0.25">
      <c r="T651" s="2"/>
    </row>
    <row r="652" spans="20:20" x14ac:dyDescent="0.25">
      <c r="T652" s="2"/>
    </row>
    <row r="653" spans="20:20" x14ac:dyDescent="0.25">
      <c r="T653" s="2"/>
    </row>
    <row r="654" spans="20:20" x14ac:dyDescent="0.25">
      <c r="T654" s="2"/>
    </row>
    <row r="655" spans="20:20" x14ac:dyDescent="0.25">
      <c r="T655" s="2"/>
    </row>
    <row r="656" spans="20:20" x14ac:dyDescent="0.25">
      <c r="T656" s="2"/>
    </row>
    <row r="657" spans="20:20" x14ac:dyDescent="0.25">
      <c r="T657" s="2"/>
    </row>
    <row r="658" spans="20:20" x14ac:dyDescent="0.25">
      <c r="T658" s="2"/>
    </row>
    <row r="659" spans="20:20" x14ac:dyDescent="0.25">
      <c r="T659" s="2"/>
    </row>
    <row r="660" spans="20:20" x14ac:dyDescent="0.25">
      <c r="T660" s="2"/>
    </row>
    <row r="661" spans="20:20" x14ac:dyDescent="0.25">
      <c r="T661" s="2"/>
    </row>
    <row r="662" spans="20:20" x14ac:dyDescent="0.25">
      <c r="T662" s="2"/>
    </row>
    <row r="663" spans="20:20" x14ac:dyDescent="0.25">
      <c r="T663" s="2"/>
    </row>
    <row r="664" spans="20:20" x14ac:dyDescent="0.25">
      <c r="T664" s="2"/>
    </row>
    <row r="665" spans="20:20" x14ac:dyDescent="0.25">
      <c r="T665" s="2"/>
    </row>
    <row r="666" spans="20:20" x14ac:dyDescent="0.25">
      <c r="T666" s="2"/>
    </row>
    <row r="667" spans="20:20" x14ac:dyDescent="0.25">
      <c r="T667" s="2"/>
    </row>
    <row r="668" spans="20:20" x14ac:dyDescent="0.25">
      <c r="T668" s="2"/>
    </row>
    <row r="669" spans="20:20" x14ac:dyDescent="0.25">
      <c r="T669" s="2"/>
    </row>
    <row r="670" spans="20:20" x14ac:dyDescent="0.25">
      <c r="T670" s="2"/>
    </row>
    <row r="671" spans="20:20" x14ac:dyDescent="0.25">
      <c r="T671" s="2"/>
    </row>
    <row r="672" spans="20:20" x14ac:dyDescent="0.25">
      <c r="T672" s="2"/>
    </row>
    <row r="673" spans="20:20" x14ac:dyDescent="0.25">
      <c r="T673" s="2"/>
    </row>
    <row r="674" spans="20:20" x14ac:dyDescent="0.25">
      <c r="T674" s="2"/>
    </row>
    <row r="675" spans="20:20" x14ac:dyDescent="0.25">
      <c r="T675" s="2"/>
    </row>
    <row r="676" spans="20:20" x14ac:dyDescent="0.25">
      <c r="T676" s="2"/>
    </row>
    <row r="677" spans="20:20" x14ac:dyDescent="0.25">
      <c r="T677" s="2"/>
    </row>
    <row r="678" spans="20:20" x14ac:dyDescent="0.25">
      <c r="T678" s="2"/>
    </row>
    <row r="679" spans="20:20" x14ac:dyDescent="0.25">
      <c r="T679" s="2"/>
    </row>
    <row r="680" spans="20:20" x14ac:dyDescent="0.25">
      <c r="T680" s="2"/>
    </row>
    <row r="681" spans="20:20" x14ac:dyDescent="0.25">
      <c r="T681" s="2"/>
    </row>
    <row r="682" spans="20:20" x14ac:dyDescent="0.25">
      <c r="T682" s="2"/>
    </row>
    <row r="683" spans="20:20" x14ac:dyDescent="0.25">
      <c r="T683" s="2"/>
    </row>
    <row r="684" spans="20:20" x14ac:dyDescent="0.25">
      <c r="T684" s="2"/>
    </row>
    <row r="685" spans="20:20" x14ac:dyDescent="0.25">
      <c r="T685" s="2"/>
    </row>
    <row r="686" spans="20:20" x14ac:dyDescent="0.25">
      <c r="T686" s="2"/>
    </row>
    <row r="687" spans="20:20" x14ac:dyDescent="0.25">
      <c r="T687" s="2"/>
    </row>
    <row r="688" spans="20:20" x14ac:dyDescent="0.25">
      <c r="T688" s="2"/>
    </row>
    <row r="689" spans="20:20" x14ac:dyDescent="0.25">
      <c r="T689" s="2"/>
    </row>
    <row r="690" spans="20:20" x14ac:dyDescent="0.25">
      <c r="T690" s="2"/>
    </row>
    <row r="691" spans="20:20" x14ac:dyDescent="0.25">
      <c r="T691" s="2"/>
    </row>
    <row r="692" spans="20:20" x14ac:dyDescent="0.25">
      <c r="T692" s="2"/>
    </row>
    <row r="693" spans="20:20" x14ac:dyDescent="0.25">
      <c r="T693" s="2"/>
    </row>
    <row r="694" spans="20:20" x14ac:dyDescent="0.25">
      <c r="T694" s="2"/>
    </row>
    <row r="695" spans="20:20" x14ac:dyDescent="0.25">
      <c r="T695" s="2"/>
    </row>
    <row r="696" spans="20:20" x14ac:dyDescent="0.25">
      <c r="T696" s="2"/>
    </row>
    <row r="697" spans="20:20" x14ac:dyDescent="0.25">
      <c r="T697" s="2"/>
    </row>
    <row r="698" spans="20:20" x14ac:dyDescent="0.25">
      <c r="T698" s="2"/>
    </row>
    <row r="699" spans="20:20" x14ac:dyDescent="0.25">
      <c r="T699" s="2"/>
    </row>
    <row r="700" spans="20:20" x14ac:dyDescent="0.25">
      <c r="T700" s="2"/>
    </row>
    <row r="701" spans="20:20" x14ac:dyDescent="0.25">
      <c r="T701" s="2"/>
    </row>
    <row r="702" spans="20:20" x14ac:dyDescent="0.25">
      <c r="T702" s="2"/>
    </row>
    <row r="703" spans="20:20" x14ac:dyDescent="0.25">
      <c r="T703" s="2"/>
    </row>
    <row r="704" spans="20:20" x14ac:dyDescent="0.25">
      <c r="T704" s="2"/>
    </row>
    <row r="705" spans="20:20" x14ac:dyDescent="0.25">
      <c r="T705" s="2"/>
    </row>
    <row r="706" spans="20:20" x14ac:dyDescent="0.25">
      <c r="T706" s="2"/>
    </row>
    <row r="707" spans="20:20" x14ac:dyDescent="0.25">
      <c r="T707" s="2"/>
    </row>
    <row r="708" spans="20:20" x14ac:dyDescent="0.25">
      <c r="T708" s="2"/>
    </row>
    <row r="709" spans="20:20" x14ac:dyDescent="0.25">
      <c r="T709" s="2"/>
    </row>
    <row r="710" spans="20:20" x14ac:dyDescent="0.25">
      <c r="T710" s="2"/>
    </row>
    <row r="711" spans="20:20" x14ac:dyDescent="0.25">
      <c r="T711" s="2"/>
    </row>
    <row r="712" spans="20:20" x14ac:dyDescent="0.25">
      <c r="T712" s="2"/>
    </row>
    <row r="713" spans="20:20" x14ac:dyDescent="0.25">
      <c r="T713" s="2"/>
    </row>
    <row r="714" spans="20:20" x14ac:dyDescent="0.25">
      <c r="T714" s="2"/>
    </row>
    <row r="715" spans="20:20" x14ac:dyDescent="0.25">
      <c r="T715" s="2"/>
    </row>
    <row r="716" spans="20:20" x14ac:dyDescent="0.25">
      <c r="T716" s="2"/>
    </row>
    <row r="717" spans="20:20" x14ac:dyDescent="0.25">
      <c r="T717" s="2"/>
    </row>
    <row r="718" spans="20:20" x14ac:dyDescent="0.25">
      <c r="T718" s="2"/>
    </row>
    <row r="719" spans="20:20" x14ac:dyDescent="0.25">
      <c r="T719" s="2"/>
    </row>
    <row r="720" spans="20:20" x14ac:dyDescent="0.25">
      <c r="T720" s="2"/>
    </row>
    <row r="721" spans="20:20" x14ac:dyDescent="0.25">
      <c r="T721" s="2"/>
    </row>
    <row r="722" spans="20:20" x14ac:dyDescent="0.25">
      <c r="T722" s="2"/>
    </row>
    <row r="723" spans="20:20" x14ac:dyDescent="0.25">
      <c r="T723" s="2"/>
    </row>
    <row r="724" spans="20:20" x14ac:dyDescent="0.25">
      <c r="T724" s="2"/>
    </row>
    <row r="725" spans="20:20" x14ac:dyDescent="0.25">
      <c r="T725" s="2"/>
    </row>
    <row r="726" spans="20:20" x14ac:dyDescent="0.25">
      <c r="T726" s="2"/>
    </row>
    <row r="727" spans="20:20" x14ac:dyDescent="0.25">
      <c r="T727" s="2"/>
    </row>
    <row r="728" spans="20:20" x14ac:dyDescent="0.25">
      <c r="T728" s="2"/>
    </row>
    <row r="729" spans="20:20" x14ac:dyDescent="0.25">
      <c r="T729" s="2"/>
    </row>
    <row r="730" spans="20:20" x14ac:dyDescent="0.25">
      <c r="T730" s="2"/>
    </row>
    <row r="731" spans="20:20" x14ac:dyDescent="0.25">
      <c r="T731" s="2"/>
    </row>
    <row r="732" spans="20:20" x14ac:dyDescent="0.25">
      <c r="T732" s="2"/>
    </row>
    <row r="733" spans="20:20" x14ac:dyDescent="0.25">
      <c r="T733" s="2"/>
    </row>
    <row r="734" spans="20:20" x14ac:dyDescent="0.25">
      <c r="T734" s="2"/>
    </row>
    <row r="735" spans="20:20" x14ac:dyDescent="0.25">
      <c r="T735" s="2"/>
    </row>
    <row r="736" spans="20:20" x14ac:dyDescent="0.25">
      <c r="T736" s="2"/>
    </row>
    <row r="737" spans="20:20" x14ac:dyDescent="0.25">
      <c r="T737" s="2"/>
    </row>
    <row r="738" spans="20:20" x14ac:dyDescent="0.25">
      <c r="T738" s="2"/>
    </row>
    <row r="739" spans="20:20" x14ac:dyDescent="0.25">
      <c r="T739" s="2"/>
    </row>
    <row r="740" spans="20:20" x14ac:dyDescent="0.25">
      <c r="T740" s="2"/>
    </row>
    <row r="741" spans="20:20" x14ac:dyDescent="0.25">
      <c r="T741" s="2"/>
    </row>
    <row r="742" spans="20:20" x14ac:dyDescent="0.25">
      <c r="T742" s="2"/>
    </row>
    <row r="743" spans="20:20" x14ac:dyDescent="0.25">
      <c r="T743" s="2"/>
    </row>
    <row r="744" spans="20:20" x14ac:dyDescent="0.25">
      <c r="T744" s="2"/>
    </row>
    <row r="745" spans="20:20" x14ac:dyDescent="0.25">
      <c r="T745" s="2"/>
    </row>
    <row r="746" spans="20:20" x14ac:dyDescent="0.25">
      <c r="T746" s="2"/>
    </row>
    <row r="747" spans="20:20" x14ac:dyDescent="0.25">
      <c r="T747" s="2"/>
    </row>
    <row r="748" spans="20:20" x14ac:dyDescent="0.25">
      <c r="T748" s="2"/>
    </row>
    <row r="749" spans="20:20" x14ac:dyDescent="0.25">
      <c r="T749" s="2"/>
    </row>
    <row r="750" spans="20:20" x14ac:dyDescent="0.25">
      <c r="T750" s="2"/>
    </row>
    <row r="751" spans="20:20" x14ac:dyDescent="0.25">
      <c r="T751" s="2"/>
    </row>
    <row r="752" spans="20:20" x14ac:dyDescent="0.25">
      <c r="T752" s="2"/>
    </row>
    <row r="753" spans="20:20" x14ac:dyDescent="0.25">
      <c r="T753" s="2"/>
    </row>
    <row r="754" spans="20:20" x14ac:dyDescent="0.25">
      <c r="T754" s="2"/>
    </row>
    <row r="755" spans="20:20" x14ac:dyDescent="0.25">
      <c r="T755" s="2"/>
    </row>
    <row r="756" spans="20:20" x14ac:dyDescent="0.25">
      <c r="T756" s="2"/>
    </row>
    <row r="757" spans="20:20" x14ac:dyDescent="0.25">
      <c r="T757" s="2"/>
    </row>
    <row r="758" spans="20:20" x14ac:dyDescent="0.25">
      <c r="T758" s="2"/>
    </row>
    <row r="759" spans="20:20" x14ac:dyDescent="0.25">
      <c r="T759" s="2"/>
    </row>
    <row r="760" spans="20:20" x14ac:dyDescent="0.25">
      <c r="T760" s="2"/>
    </row>
    <row r="761" spans="20:20" x14ac:dyDescent="0.25">
      <c r="T761" s="2"/>
    </row>
    <row r="762" spans="20:20" x14ac:dyDescent="0.25">
      <c r="T762" s="2"/>
    </row>
    <row r="763" spans="20:20" x14ac:dyDescent="0.25">
      <c r="T763" s="2"/>
    </row>
    <row r="764" spans="20:20" x14ac:dyDescent="0.25">
      <c r="T764" s="2"/>
    </row>
    <row r="765" spans="20:20" x14ac:dyDescent="0.25">
      <c r="T765" s="2"/>
    </row>
    <row r="766" spans="20:20" x14ac:dyDescent="0.25">
      <c r="T766" s="2"/>
    </row>
    <row r="767" spans="20:20" x14ac:dyDescent="0.25">
      <c r="T767" s="2"/>
    </row>
    <row r="768" spans="20:20" x14ac:dyDescent="0.25">
      <c r="T768" s="2"/>
    </row>
    <row r="769" spans="20:20" x14ac:dyDescent="0.25">
      <c r="T769" s="2"/>
    </row>
    <row r="770" spans="20:20" x14ac:dyDescent="0.25">
      <c r="T770" s="2"/>
    </row>
    <row r="771" spans="20:20" x14ac:dyDescent="0.25">
      <c r="T771" s="2"/>
    </row>
    <row r="772" spans="20:20" x14ac:dyDescent="0.25">
      <c r="T772" s="2"/>
    </row>
    <row r="773" spans="20:20" x14ac:dyDescent="0.25">
      <c r="T773" s="2"/>
    </row>
    <row r="774" spans="20:20" x14ac:dyDescent="0.25">
      <c r="T774" s="2"/>
    </row>
    <row r="775" spans="20:20" x14ac:dyDescent="0.25">
      <c r="T775" s="2"/>
    </row>
    <row r="776" spans="20:20" x14ac:dyDescent="0.25">
      <c r="T776" s="2"/>
    </row>
    <row r="777" spans="20:20" x14ac:dyDescent="0.25">
      <c r="T777" s="2"/>
    </row>
    <row r="778" spans="20:20" x14ac:dyDescent="0.25">
      <c r="T778" s="2"/>
    </row>
    <row r="779" spans="20:20" x14ac:dyDescent="0.25">
      <c r="T779" s="2"/>
    </row>
    <row r="780" spans="20:20" x14ac:dyDescent="0.25">
      <c r="T780" s="2"/>
    </row>
    <row r="781" spans="20:20" x14ac:dyDescent="0.25">
      <c r="T781" s="2"/>
    </row>
    <row r="782" spans="20:20" x14ac:dyDescent="0.25">
      <c r="T782" s="2"/>
    </row>
    <row r="783" spans="20:20" x14ac:dyDescent="0.25">
      <c r="T783" s="2"/>
    </row>
    <row r="784" spans="20:20" x14ac:dyDescent="0.25">
      <c r="T784" s="2"/>
    </row>
    <row r="785" spans="20:20" x14ac:dyDescent="0.25">
      <c r="T785" s="2"/>
    </row>
    <row r="786" spans="20:20" x14ac:dyDescent="0.25">
      <c r="T786" s="2"/>
    </row>
    <row r="787" spans="20:20" x14ac:dyDescent="0.25">
      <c r="T787" s="2"/>
    </row>
    <row r="788" spans="20:20" x14ac:dyDescent="0.25">
      <c r="T788" s="2"/>
    </row>
    <row r="789" spans="20:20" x14ac:dyDescent="0.25">
      <c r="T789" s="2"/>
    </row>
    <row r="790" spans="20:20" x14ac:dyDescent="0.25">
      <c r="T790" s="2"/>
    </row>
    <row r="791" spans="20:20" x14ac:dyDescent="0.25">
      <c r="T791" s="2"/>
    </row>
    <row r="792" spans="20:20" x14ac:dyDescent="0.25">
      <c r="T792" s="2"/>
    </row>
    <row r="793" spans="20:20" x14ac:dyDescent="0.25">
      <c r="T793" s="2"/>
    </row>
    <row r="794" spans="20:20" x14ac:dyDescent="0.25">
      <c r="T794" s="2"/>
    </row>
    <row r="795" spans="20:20" x14ac:dyDescent="0.25">
      <c r="T795" s="2"/>
    </row>
    <row r="796" spans="20:20" x14ac:dyDescent="0.25">
      <c r="T796" s="2"/>
    </row>
    <row r="797" spans="20:20" x14ac:dyDescent="0.25">
      <c r="T797" s="2"/>
    </row>
    <row r="798" spans="20:20" x14ac:dyDescent="0.25">
      <c r="T798" s="2"/>
    </row>
    <row r="799" spans="20:20" x14ac:dyDescent="0.25">
      <c r="T799" s="2"/>
    </row>
    <row r="800" spans="20:20" x14ac:dyDescent="0.25">
      <c r="T800" s="2"/>
    </row>
    <row r="801" spans="20:20" x14ac:dyDescent="0.25">
      <c r="T801" s="2"/>
    </row>
    <row r="802" spans="20:20" x14ac:dyDescent="0.25">
      <c r="T802" s="2"/>
    </row>
    <row r="803" spans="20:20" x14ac:dyDescent="0.25">
      <c r="T803" s="2"/>
    </row>
    <row r="804" spans="20:20" x14ac:dyDescent="0.25">
      <c r="T804" s="2"/>
    </row>
    <row r="805" spans="20:20" x14ac:dyDescent="0.25">
      <c r="T805" s="2"/>
    </row>
    <row r="806" spans="20:20" x14ac:dyDescent="0.25">
      <c r="T806" s="2"/>
    </row>
    <row r="807" spans="20:20" x14ac:dyDescent="0.25">
      <c r="T807" s="2"/>
    </row>
    <row r="808" spans="20:20" x14ac:dyDescent="0.25">
      <c r="T808" s="2"/>
    </row>
    <row r="809" spans="20:20" x14ac:dyDescent="0.25">
      <c r="T809" s="2"/>
    </row>
    <row r="810" spans="20:20" x14ac:dyDescent="0.25">
      <c r="T810" s="2"/>
    </row>
    <row r="811" spans="20:20" x14ac:dyDescent="0.25">
      <c r="T811" s="2"/>
    </row>
    <row r="812" spans="20:20" x14ac:dyDescent="0.25">
      <c r="T812" s="2"/>
    </row>
    <row r="813" spans="20:20" x14ac:dyDescent="0.25">
      <c r="T813" s="2"/>
    </row>
    <row r="814" spans="20:20" x14ac:dyDescent="0.25">
      <c r="T814" s="2"/>
    </row>
    <row r="815" spans="20:20" x14ac:dyDescent="0.25">
      <c r="T815" s="2"/>
    </row>
    <row r="816" spans="20:20" x14ac:dyDescent="0.25">
      <c r="T816" s="2"/>
    </row>
    <row r="817" spans="20:20" x14ac:dyDescent="0.25">
      <c r="T817" s="2"/>
    </row>
    <row r="818" spans="20:20" x14ac:dyDescent="0.25">
      <c r="T818" s="2"/>
    </row>
    <row r="819" spans="20:20" x14ac:dyDescent="0.25">
      <c r="T819" s="2"/>
    </row>
    <row r="820" spans="20:20" x14ac:dyDescent="0.25">
      <c r="T820" s="2"/>
    </row>
    <row r="821" spans="20:20" x14ac:dyDescent="0.25">
      <c r="T821" s="2"/>
    </row>
    <row r="822" spans="20:20" x14ac:dyDescent="0.25">
      <c r="T822" s="2"/>
    </row>
    <row r="823" spans="20:20" x14ac:dyDescent="0.25">
      <c r="T823" s="2"/>
    </row>
    <row r="824" spans="20:20" x14ac:dyDescent="0.25">
      <c r="T824" s="2"/>
    </row>
    <row r="825" spans="20:20" x14ac:dyDescent="0.25">
      <c r="T825" s="2"/>
    </row>
    <row r="826" spans="20:20" x14ac:dyDescent="0.25">
      <c r="T826" s="2"/>
    </row>
    <row r="827" spans="20:20" x14ac:dyDescent="0.25">
      <c r="T827" s="2"/>
    </row>
    <row r="828" spans="20:20" x14ac:dyDescent="0.25">
      <c r="T828" s="2"/>
    </row>
    <row r="829" spans="20:20" x14ac:dyDescent="0.25">
      <c r="T829" s="2"/>
    </row>
    <row r="830" spans="20:20" x14ac:dyDescent="0.25">
      <c r="T830" s="2"/>
    </row>
    <row r="831" spans="20:20" x14ac:dyDescent="0.25">
      <c r="T831" s="2"/>
    </row>
    <row r="832" spans="20:20" x14ac:dyDescent="0.25">
      <c r="T832" s="2"/>
    </row>
    <row r="833" spans="20:20" x14ac:dyDescent="0.25">
      <c r="T833" s="2"/>
    </row>
    <row r="834" spans="20:20" x14ac:dyDescent="0.25">
      <c r="T834" s="2"/>
    </row>
    <row r="835" spans="20:20" x14ac:dyDescent="0.25">
      <c r="T835" s="2"/>
    </row>
    <row r="836" spans="20:20" x14ac:dyDescent="0.25">
      <c r="T836" s="2"/>
    </row>
    <row r="837" spans="20:20" x14ac:dyDescent="0.25">
      <c r="T837" s="2"/>
    </row>
    <row r="838" spans="20:20" x14ac:dyDescent="0.25">
      <c r="T838" s="2"/>
    </row>
    <row r="839" spans="20:20" x14ac:dyDescent="0.25">
      <c r="T839" s="2"/>
    </row>
    <row r="840" spans="20:20" x14ac:dyDescent="0.25">
      <c r="T840" s="2"/>
    </row>
    <row r="841" spans="20:20" x14ac:dyDescent="0.25">
      <c r="T841" s="2"/>
    </row>
    <row r="842" spans="20:20" x14ac:dyDescent="0.25">
      <c r="T842" s="2"/>
    </row>
    <row r="843" spans="20:20" x14ac:dyDescent="0.25">
      <c r="T843" s="2"/>
    </row>
    <row r="844" spans="20:20" x14ac:dyDescent="0.25">
      <c r="T844" s="2"/>
    </row>
    <row r="845" spans="20:20" x14ac:dyDescent="0.25">
      <c r="T845" s="2"/>
    </row>
    <row r="846" spans="20:20" x14ac:dyDescent="0.25">
      <c r="T846" s="2"/>
    </row>
    <row r="847" spans="20:20" x14ac:dyDescent="0.25">
      <c r="T847" s="2"/>
    </row>
    <row r="848" spans="20:20" x14ac:dyDescent="0.25">
      <c r="T848" s="2"/>
    </row>
    <row r="849" spans="20:20" x14ac:dyDescent="0.25">
      <c r="T849" s="2"/>
    </row>
    <row r="850" spans="20:20" x14ac:dyDescent="0.25">
      <c r="T850" s="2"/>
    </row>
    <row r="851" spans="20:20" x14ac:dyDescent="0.25">
      <c r="T851" s="2"/>
    </row>
    <row r="852" spans="20:20" x14ac:dyDescent="0.25">
      <c r="T852" s="2"/>
    </row>
    <row r="853" spans="20:20" x14ac:dyDescent="0.25">
      <c r="T853" s="2"/>
    </row>
    <row r="854" spans="20:20" x14ac:dyDescent="0.25">
      <c r="T854" s="2"/>
    </row>
    <row r="855" spans="20:20" x14ac:dyDescent="0.25">
      <c r="T855" s="2"/>
    </row>
    <row r="856" spans="20:20" x14ac:dyDescent="0.25">
      <c r="T856" s="2"/>
    </row>
    <row r="857" spans="20:20" x14ac:dyDescent="0.25">
      <c r="T857" s="2"/>
    </row>
    <row r="858" spans="20:20" x14ac:dyDescent="0.25">
      <c r="T858" s="2"/>
    </row>
    <row r="859" spans="20:20" x14ac:dyDescent="0.25">
      <c r="T859" s="2"/>
    </row>
    <row r="860" spans="20:20" x14ac:dyDescent="0.25">
      <c r="T860" s="2"/>
    </row>
    <row r="861" spans="20:20" x14ac:dyDescent="0.25">
      <c r="T861" s="2"/>
    </row>
    <row r="862" spans="20:20" x14ac:dyDescent="0.25">
      <c r="T862" s="2"/>
    </row>
    <row r="863" spans="20:20" x14ac:dyDescent="0.25">
      <c r="T863" s="2"/>
    </row>
    <row r="864" spans="20:20" x14ac:dyDescent="0.25">
      <c r="T864" s="2"/>
    </row>
    <row r="865" spans="20:20" x14ac:dyDescent="0.25">
      <c r="T865" s="2"/>
    </row>
    <row r="866" spans="20:20" x14ac:dyDescent="0.25">
      <c r="T866" s="2"/>
    </row>
    <row r="867" spans="20:20" x14ac:dyDescent="0.25">
      <c r="T867" s="2"/>
    </row>
    <row r="868" spans="20:20" x14ac:dyDescent="0.25">
      <c r="T868" s="2"/>
    </row>
    <row r="869" spans="20:20" x14ac:dyDescent="0.25">
      <c r="T869" s="2"/>
    </row>
    <row r="870" spans="20:20" x14ac:dyDescent="0.25">
      <c r="T870" s="2"/>
    </row>
    <row r="871" spans="20:20" x14ac:dyDescent="0.25">
      <c r="T871" s="2"/>
    </row>
    <row r="872" spans="20:20" x14ac:dyDescent="0.25">
      <c r="T872" s="2"/>
    </row>
    <row r="873" spans="20:20" x14ac:dyDescent="0.25">
      <c r="T873" s="2"/>
    </row>
    <row r="874" spans="20:20" x14ac:dyDescent="0.25">
      <c r="T874" s="2"/>
    </row>
    <row r="875" spans="20:20" x14ac:dyDescent="0.25">
      <c r="T875" s="2"/>
    </row>
    <row r="876" spans="20:20" x14ac:dyDescent="0.25">
      <c r="T876" s="2"/>
    </row>
    <row r="877" spans="20:20" x14ac:dyDescent="0.25">
      <c r="T877" s="2"/>
    </row>
    <row r="878" spans="20:20" x14ac:dyDescent="0.25">
      <c r="T878" s="2"/>
    </row>
    <row r="879" spans="20:20" x14ac:dyDescent="0.25">
      <c r="T879" s="2"/>
    </row>
    <row r="880" spans="20:20" x14ac:dyDescent="0.25">
      <c r="T880" s="2"/>
    </row>
    <row r="881" spans="20:20" x14ac:dyDescent="0.25">
      <c r="T881" s="2"/>
    </row>
    <row r="882" spans="20:20" x14ac:dyDescent="0.25">
      <c r="T882" s="2"/>
    </row>
    <row r="883" spans="20:20" x14ac:dyDescent="0.25">
      <c r="T883" s="2"/>
    </row>
    <row r="884" spans="20:20" x14ac:dyDescent="0.25">
      <c r="T884" s="2"/>
    </row>
    <row r="885" spans="20:20" x14ac:dyDescent="0.25">
      <c r="T885" s="2"/>
    </row>
    <row r="886" spans="20:20" x14ac:dyDescent="0.25">
      <c r="T886" s="2"/>
    </row>
    <row r="887" spans="20:20" x14ac:dyDescent="0.25">
      <c r="T887" s="2"/>
    </row>
    <row r="888" spans="20:20" x14ac:dyDescent="0.25">
      <c r="T888" s="2"/>
    </row>
    <row r="889" spans="20:20" x14ac:dyDescent="0.25">
      <c r="T889" s="2"/>
    </row>
    <row r="890" spans="20:20" x14ac:dyDescent="0.25">
      <c r="T890" s="2"/>
    </row>
    <row r="891" spans="20:20" x14ac:dyDescent="0.25">
      <c r="T891" s="2"/>
    </row>
    <row r="892" spans="20:20" x14ac:dyDescent="0.25">
      <c r="T892" s="2"/>
    </row>
    <row r="893" spans="20:20" x14ac:dyDescent="0.25">
      <c r="T893" s="2"/>
    </row>
    <row r="894" spans="20:20" x14ac:dyDescent="0.25">
      <c r="T894" s="2"/>
    </row>
    <row r="895" spans="20:20" x14ac:dyDescent="0.25">
      <c r="T895" s="2"/>
    </row>
    <row r="896" spans="20:20" x14ac:dyDescent="0.25">
      <c r="T896" s="2"/>
    </row>
    <row r="897" spans="20:20" x14ac:dyDescent="0.25">
      <c r="T897" s="2"/>
    </row>
    <row r="898" spans="20:20" x14ac:dyDescent="0.25">
      <c r="T898" s="2"/>
    </row>
    <row r="899" spans="20:20" x14ac:dyDescent="0.25">
      <c r="T899" s="2"/>
    </row>
    <row r="900" spans="20:20" x14ac:dyDescent="0.25">
      <c r="T900" s="2"/>
    </row>
    <row r="901" spans="20:20" x14ac:dyDescent="0.25">
      <c r="T901" s="2"/>
    </row>
    <row r="902" spans="20:20" x14ac:dyDescent="0.25">
      <c r="T902" s="2"/>
    </row>
    <row r="903" spans="20:20" x14ac:dyDescent="0.25">
      <c r="T903" s="2"/>
    </row>
    <row r="904" spans="20:20" x14ac:dyDescent="0.25">
      <c r="T904" s="2"/>
    </row>
    <row r="905" spans="20:20" x14ac:dyDescent="0.25">
      <c r="T905" s="2"/>
    </row>
    <row r="906" spans="20:20" x14ac:dyDescent="0.25">
      <c r="T906" s="2"/>
    </row>
    <row r="907" spans="20:20" x14ac:dyDescent="0.25">
      <c r="T907" s="2"/>
    </row>
    <row r="908" spans="20:20" x14ac:dyDescent="0.25">
      <c r="T908" s="2"/>
    </row>
    <row r="909" spans="20:20" x14ac:dyDescent="0.25">
      <c r="T909" s="2"/>
    </row>
    <row r="910" spans="20:20" x14ac:dyDescent="0.25">
      <c r="T910" s="2"/>
    </row>
    <row r="911" spans="20:20" x14ac:dyDescent="0.25">
      <c r="T911" s="2"/>
    </row>
    <row r="912" spans="20:20" x14ac:dyDescent="0.25">
      <c r="T912" s="2"/>
    </row>
    <row r="913" spans="20:20" x14ac:dyDescent="0.25">
      <c r="T913" s="2"/>
    </row>
    <row r="914" spans="20:20" x14ac:dyDescent="0.25">
      <c r="T914" s="2"/>
    </row>
    <row r="915" spans="20:20" x14ac:dyDescent="0.25">
      <c r="T915" s="2"/>
    </row>
    <row r="916" spans="20:20" x14ac:dyDescent="0.25">
      <c r="T916" s="2"/>
    </row>
    <row r="917" spans="20:20" x14ac:dyDescent="0.25">
      <c r="T917" s="2"/>
    </row>
    <row r="918" spans="20:20" x14ac:dyDescent="0.25">
      <c r="T918" s="2"/>
    </row>
    <row r="919" spans="20:20" x14ac:dyDescent="0.25">
      <c r="T919" s="2"/>
    </row>
    <row r="920" spans="20:20" x14ac:dyDescent="0.25">
      <c r="T920" s="2"/>
    </row>
    <row r="921" spans="20:20" x14ac:dyDescent="0.25">
      <c r="T921" s="2"/>
    </row>
    <row r="922" spans="20:20" x14ac:dyDescent="0.25">
      <c r="T922" s="2"/>
    </row>
    <row r="923" spans="20:20" x14ac:dyDescent="0.25">
      <c r="T923" s="2"/>
    </row>
    <row r="924" spans="20:20" x14ac:dyDescent="0.25">
      <c r="T924" s="2"/>
    </row>
    <row r="925" spans="20:20" x14ac:dyDescent="0.25">
      <c r="T925" s="2"/>
    </row>
    <row r="926" spans="20:20" x14ac:dyDescent="0.25">
      <c r="T926" s="2"/>
    </row>
    <row r="927" spans="20:20" x14ac:dyDescent="0.25">
      <c r="T927" s="2"/>
    </row>
    <row r="928" spans="20:20" x14ac:dyDescent="0.25">
      <c r="T928" s="2"/>
    </row>
    <row r="929" spans="20:20" x14ac:dyDescent="0.25">
      <c r="T929" s="2"/>
    </row>
    <row r="930" spans="20:20" x14ac:dyDescent="0.25">
      <c r="T930" s="2"/>
    </row>
    <row r="931" spans="20:20" x14ac:dyDescent="0.25">
      <c r="T931" s="2"/>
    </row>
    <row r="932" spans="20:20" x14ac:dyDescent="0.25">
      <c r="T932" s="2"/>
    </row>
    <row r="933" spans="20:20" x14ac:dyDescent="0.25">
      <c r="T933" s="2"/>
    </row>
    <row r="934" spans="20:20" x14ac:dyDescent="0.25">
      <c r="T934" s="2"/>
    </row>
    <row r="935" spans="20:20" x14ac:dyDescent="0.25">
      <c r="T935" s="2"/>
    </row>
    <row r="936" spans="20:20" x14ac:dyDescent="0.25">
      <c r="T936" s="2"/>
    </row>
    <row r="937" spans="20:20" x14ac:dyDescent="0.25">
      <c r="T937" s="2"/>
    </row>
    <row r="938" spans="20:20" x14ac:dyDescent="0.25">
      <c r="T938" s="2"/>
    </row>
    <row r="939" spans="20:20" x14ac:dyDescent="0.25">
      <c r="T939" s="2"/>
    </row>
    <row r="940" spans="20:20" x14ac:dyDescent="0.25">
      <c r="T940" s="2"/>
    </row>
    <row r="941" spans="20:20" x14ac:dyDescent="0.25">
      <c r="T941" s="2"/>
    </row>
    <row r="942" spans="20:20" x14ac:dyDescent="0.25">
      <c r="T942" s="2"/>
    </row>
    <row r="943" spans="20:20" x14ac:dyDescent="0.25">
      <c r="T943" s="2"/>
    </row>
    <row r="944" spans="20:20" x14ac:dyDescent="0.25">
      <c r="T944" s="2"/>
    </row>
    <row r="945" spans="20:20" x14ac:dyDescent="0.25">
      <c r="T945" s="2"/>
    </row>
    <row r="946" spans="20:20" x14ac:dyDescent="0.25">
      <c r="T946" s="2"/>
    </row>
    <row r="947" spans="20:20" x14ac:dyDescent="0.25">
      <c r="T947" s="2"/>
    </row>
    <row r="948" spans="20:20" x14ac:dyDescent="0.25">
      <c r="T948" s="2"/>
    </row>
    <row r="949" spans="20:20" x14ac:dyDescent="0.25">
      <c r="T949" s="2"/>
    </row>
    <row r="950" spans="20:20" x14ac:dyDescent="0.25">
      <c r="T950" s="2"/>
    </row>
    <row r="951" spans="20:20" x14ac:dyDescent="0.25">
      <c r="T951" s="2"/>
    </row>
    <row r="952" spans="20:20" x14ac:dyDescent="0.25">
      <c r="T952" s="2"/>
    </row>
    <row r="953" spans="20:20" x14ac:dyDescent="0.25">
      <c r="T953" s="2"/>
    </row>
    <row r="954" spans="20:20" x14ac:dyDescent="0.25">
      <c r="T954" s="2"/>
    </row>
    <row r="955" spans="20:20" x14ac:dyDescent="0.25">
      <c r="T955" s="2"/>
    </row>
    <row r="956" spans="20:20" x14ac:dyDescent="0.25">
      <c r="T956" s="2"/>
    </row>
    <row r="957" spans="20:20" x14ac:dyDescent="0.25">
      <c r="T957" s="2"/>
    </row>
    <row r="958" spans="20:20" x14ac:dyDescent="0.25">
      <c r="T958" s="2"/>
    </row>
    <row r="959" spans="20:20" x14ac:dyDescent="0.25">
      <c r="T959" s="2"/>
    </row>
    <row r="960" spans="20:20" x14ac:dyDescent="0.25">
      <c r="T960" s="2"/>
    </row>
    <row r="961" spans="20:20" x14ac:dyDescent="0.25">
      <c r="T961" s="2"/>
    </row>
    <row r="962" spans="20:20" x14ac:dyDescent="0.25">
      <c r="T962" s="2"/>
    </row>
    <row r="963" spans="20:20" x14ac:dyDescent="0.25">
      <c r="T963" s="2"/>
    </row>
    <row r="964" spans="20:20" x14ac:dyDescent="0.25">
      <c r="T964" s="2"/>
    </row>
    <row r="965" spans="20:20" x14ac:dyDescent="0.25">
      <c r="T965" s="2"/>
    </row>
    <row r="966" spans="20:20" x14ac:dyDescent="0.25">
      <c r="T966" s="2"/>
    </row>
    <row r="967" spans="20:20" x14ac:dyDescent="0.25">
      <c r="T967" s="2"/>
    </row>
    <row r="968" spans="20:20" x14ac:dyDescent="0.25">
      <c r="T968" s="2"/>
    </row>
    <row r="969" spans="20:20" x14ac:dyDescent="0.25">
      <c r="T969" s="2"/>
    </row>
    <row r="970" spans="20:20" x14ac:dyDescent="0.25">
      <c r="T970" s="2"/>
    </row>
    <row r="971" spans="20:20" x14ac:dyDescent="0.25">
      <c r="T971" s="2"/>
    </row>
    <row r="972" spans="20:20" x14ac:dyDescent="0.25">
      <c r="T972" s="2"/>
    </row>
    <row r="973" spans="20:20" x14ac:dyDescent="0.25">
      <c r="T973" s="2"/>
    </row>
    <row r="974" spans="20:20" x14ac:dyDescent="0.25">
      <c r="T974" s="2"/>
    </row>
    <row r="975" spans="20:20" x14ac:dyDescent="0.25">
      <c r="T975" s="2"/>
    </row>
    <row r="976" spans="20:20" x14ac:dyDescent="0.25">
      <c r="T976" s="2"/>
    </row>
    <row r="977" spans="20:20" x14ac:dyDescent="0.25">
      <c r="T977" s="2"/>
    </row>
    <row r="978" spans="20:20" x14ac:dyDescent="0.25">
      <c r="T978" s="2"/>
    </row>
    <row r="979" spans="20:20" x14ac:dyDescent="0.25">
      <c r="T979" s="2"/>
    </row>
    <row r="980" spans="20:20" x14ac:dyDescent="0.25">
      <c r="T980" s="2"/>
    </row>
    <row r="981" spans="20:20" x14ac:dyDescent="0.25">
      <c r="T981" s="2"/>
    </row>
    <row r="982" spans="20:20" x14ac:dyDescent="0.25">
      <c r="T982" s="2"/>
    </row>
    <row r="983" spans="20:20" x14ac:dyDescent="0.25">
      <c r="T983" s="2"/>
    </row>
    <row r="984" spans="20:20" x14ac:dyDescent="0.25">
      <c r="T984" s="2"/>
    </row>
    <row r="985" spans="20:20" x14ac:dyDescent="0.25">
      <c r="T985" s="2"/>
    </row>
    <row r="986" spans="20:20" x14ac:dyDescent="0.25">
      <c r="T986" s="2"/>
    </row>
    <row r="987" spans="20:20" x14ac:dyDescent="0.25">
      <c r="T987" s="2"/>
    </row>
    <row r="988" spans="20:20" x14ac:dyDescent="0.25">
      <c r="T988" s="2"/>
    </row>
    <row r="989" spans="20:20" x14ac:dyDescent="0.25">
      <c r="T989" s="2"/>
    </row>
    <row r="990" spans="20:20" x14ac:dyDescent="0.25">
      <c r="T990" s="2"/>
    </row>
    <row r="991" spans="20:20" x14ac:dyDescent="0.25">
      <c r="T991" s="2"/>
    </row>
    <row r="992" spans="20:20" x14ac:dyDescent="0.25">
      <c r="T992" s="2"/>
    </row>
    <row r="993" spans="20:20" x14ac:dyDescent="0.25">
      <c r="T993" s="2"/>
    </row>
    <row r="994" spans="20:20" x14ac:dyDescent="0.25">
      <c r="T994" s="2"/>
    </row>
    <row r="995" spans="20:20" x14ac:dyDescent="0.25">
      <c r="T995" s="2"/>
    </row>
    <row r="996" spans="20:20" x14ac:dyDescent="0.25">
      <c r="T996" s="2"/>
    </row>
    <row r="997" spans="20:20" x14ac:dyDescent="0.25">
      <c r="T997" s="2"/>
    </row>
    <row r="998" spans="20:20" x14ac:dyDescent="0.25">
      <c r="T998" s="2"/>
    </row>
    <row r="999" spans="20:20" x14ac:dyDescent="0.25">
      <c r="T999" s="2"/>
    </row>
    <row r="1000" spans="20:20" x14ac:dyDescent="0.25">
      <c r="T1000" s="2"/>
    </row>
  </sheetData>
  <mergeCells count="5">
    <mergeCell ref="A2:I2"/>
    <mergeCell ref="A11:I11"/>
    <mergeCell ref="A20:I20"/>
    <mergeCell ref="A29:I29"/>
    <mergeCell ref="A38:I38"/>
  </mergeCells>
  <conditionalFormatting sqref="B4:I10 B12:I19 B21:I28 B30:I37 B39:I46">
    <cfRule type="colorScale" priority="1">
      <colorScale>
        <cfvo type="percent" val="0"/>
        <cfvo type="percent" val="50"/>
        <cfvo type="percent" val="100"/>
        <color rgb="FFE06666"/>
        <color rgb="FFFFD966"/>
        <color rgb="FF93C47D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000"/>
  <sheetViews>
    <sheetView workbookViewId="0"/>
  </sheetViews>
  <sheetFormatPr defaultColWidth="12.6640625" defaultRowHeight="13.2" x14ac:dyDescent="0.25"/>
  <cols>
    <col min="1" max="1" width="15.88671875" customWidth="1"/>
    <col min="2" max="8" width="11" customWidth="1"/>
    <col min="9" max="9" width="11.88671875" customWidth="1"/>
    <col min="10" max="10" width="17.88671875" customWidth="1"/>
    <col min="11" max="11" width="12.109375" customWidth="1"/>
    <col min="12" max="12" width="3.33203125" customWidth="1"/>
    <col min="13" max="13" width="17.5546875" customWidth="1"/>
    <col min="14" max="15" width="11" customWidth="1"/>
    <col min="16" max="16" width="11.88671875" customWidth="1"/>
    <col min="17" max="20" width="11" customWidth="1"/>
  </cols>
  <sheetData>
    <row r="1" spans="1:20" ht="126" x14ac:dyDescent="0.25">
      <c r="A1" s="25" t="s">
        <v>0</v>
      </c>
      <c r="B1" s="26"/>
      <c r="C1" s="26"/>
      <c r="D1" s="26"/>
      <c r="E1" s="26"/>
      <c r="F1" s="26"/>
      <c r="G1" s="26"/>
      <c r="H1" s="26"/>
      <c r="I1" s="26"/>
      <c r="J1" s="25"/>
      <c r="K1" s="32"/>
      <c r="L1" s="25"/>
      <c r="M1" s="25"/>
      <c r="N1" s="25"/>
      <c r="O1" s="25"/>
      <c r="P1" s="25"/>
      <c r="Q1" s="25"/>
      <c r="R1" s="25"/>
      <c r="S1" s="25"/>
      <c r="T1" s="25"/>
    </row>
    <row r="2" spans="1:20" ht="14.4" x14ac:dyDescent="0.25">
      <c r="A2" s="37" t="s">
        <v>1</v>
      </c>
      <c r="B2" s="37"/>
      <c r="C2" s="37"/>
      <c r="D2" s="37"/>
      <c r="E2" s="37"/>
      <c r="F2" s="37"/>
      <c r="G2" s="37"/>
      <c r="H2" s="37"/>
      <c r="I2" s="37"/>
      <c r="J2" s="21"/>
      <c r="K2" s="24"/>
      <c r="L2" s="21"/>
      <c r="M2" s="15"/>
      <c r="N2" s="15" t="s">
        <v>2</v>
      </c>
      <c r="O2" s="15" t="s">
        <v>3</v>
      </c>
      <c r="P2" s="15" t="s">
        <v>4</v>
      </c>
      <c r="Q2" s="15" t="s">
        <v>5</v>
      </c>
      <c r="R2" s="15" t="s">
        <v>6</v>
      </c>
      <c r="S2" s="15" t="s">
        <v>7</v>
      </c>
      <c r="T2" s="16" t="s">
        <v>8</v>
      </c>
    </row>
    <row r="3" spans="1:20" ht="14.4" x14ac:dyDescent="0.25">
      <c r="A3" s="27"/>
      <c r="B3" s="28" t="s">
        <v>9</v>
      </c>
      <c r="C3" s="28" t="s">
        <v>2</v>
      </c>
      <c r="D3" s="28" t="s">
        <v>3</v>
      </c>
      <c r="E3" s="28" t="s">
        <v>7</v>
      </c>
      <c r="F3" s="28" t="s">
        <v>8</v>
      </c>
      <c r="G3" s="28" t="s">
        <v>5</v>
      </c>
      <c r="H3" s="28" t="s">
        <v>6</v>
      </c>
      <c r="I3" s="28" t="s">
        <v>10</v>
      </c>
      <c r="J3" s="21"/>
      <c r="K3" s="24"/>
      <c r="L3" s="21"/>
      <c r="M3" s="29" t="s">
        <v>11</v>
      </c>
      <c r="N3" s="30">
        <v>2</v>
      </c>
      <c r="O3" s="30">
        <v>2</v>
      </c>
      <c r="P3" s="30">
        <v>3</v>
      </c>
      <c r="Q3" s="30">
        <v>2</v>
      </c>
      <c r="R3" s="30">
        <v>3</v>
      </c>
      <c r="S3" s="30">
        <v>3</v>
      </c>
      <c r="T3" s="30">
        <v>3</v>
      </c>
    </row>
    <row r="4" spans="1:20" ht="14.4" x14ac:dyDescent="0.25">
      <c r="A4" s="29" t="s">
        <v>9</v>
      </c>
      <c r="B4" s="24">
        <v>0.5</v>
      </c>
      <c r="C4" s="24">
        <v>0.36193999999999998</v>
      </c>
      <c r="D4" s="24">
        <v>0.36136000000000001</v>
      </c>
      <c r="E4" s="24">
        <v>0.36070000000000002</v>
      </c>
      <c r="F4" s="24">
        <v>0.80881000000000003</v>
      </c>
      <c r="G4" s="24">
        <v>1</v>
      </c>
      <c r="H4" s="24">
        <v>1</v>
      </c>
      <c r="I4" s="24">
        <f t="shared" ref="I4:I10" si="0">AVERAGE(B4:H4)</f>
        <v>0.62754428571428567</v>
      </c>
      <c r="J4" s="21" t="s">
        <v>13</v>
      </c>
      <c r="K4" s="24">
        <f>VARP(I4:I10)</f>
        <v>4.4290743788338187E-2</v>
      </c>
      <c r="L4" s="21"/>
      <c r="M4" s="29" t="s">
        <v>14</v>
      </c>
      <c r="N4" s="30">
        <v>6</v>
      </c>
      <c r="O4" s="30">
        <v>7</v>
      </c>
      <c r="P4" s="30">
        <v>4</v>
      </c>
      <c r="Q4" s="30">
        <v>6</v>
      </c>
      <c r="R4" s="30">
        <v>6</v>
      </c>
      <c r="S4" s="30">
        <v>7</v>
      </c>
      <c r="T4" s="30">
        <v>4</v>
      </c>
    </row>
    <row r="5" spans="1:20" ht="14.4" x14ac:dyDescent="0.25">
      <c r="A5" s="29" t="s">
        <v>2</v>
      </c>
      <c r="B5" s="24">
        <f>1-C4</f>
        <v>0.63806000000000007</v>
      </c>
      <c r="C5" s="24">
        <v>0.5</v>
      </c>
      <c r="D5" s="24">
        <v>1</v>
      </c>
      <c r="E5" s="24">
        <v>0</v>
      </c>
      <c r="F5" s="24">
        <v>0.80947999999999998</v>
      </c>
      <c r="G5" s="24">
        <v>1</v>
      </c>
      <c r="H5" s="24">
        <v>0</v>
      </c>
      <c r="I5" s="24">
        <f t="shared" si="0"/>
        <v>0.56393428571428572</v>
      </c>
      <c r="J5" s="21" t="s">
        <v>15</v>
      </c>
      <c r="K5" s="24">
        <f t="array" ref="K5">AVERAGE(IF(ISNUMBER(B4:H10), ABS(B4:H10-0.5), ""))</f>
        <v>0.30613918367346937</v>
      </c>
      <c r="L5" s="21"/>
      <c r="M5" s="29" t="s">
        <v>16</v>
      </c>
      <c r="N5" s="30">
        <v>1</v>
      </c>
      <c r="O5" s="30"/>
      <c r="P5" s="30"/>
      <c r="Q5" s="30"/>
      <c r="R5" s="30"/>
      <c r="S5" s="30"/>
      <c r="T5" s="30"/>
    </row>
    <row r="6" spans="1:20" ht="14.4" x14ac:dyDescent="0.25">
      <c r="A6" s="29" t="s">
        <v>3</v>
      </c>
      <c r="B6" s="24">
        <f>1-D4</f>
        <v>0.63863999999999999</v>
      </c>
      <c r="C6" s="24">
        <f>1-D5</f>
        <v>0</v>
      </c>
      <c r="D6" s="24">
        <v>0.5</v>
      </c>
      <c r="E6" s="24">
        <v>0</v>
      </c>
      <c r="F6" s="24">
        <v>0.96516000000000002</v>
      </c>
      <c r="G6" s="24">
        <v>1</v>
      </c>
      <c r="H6" s="24">
        <v>0.49944</v>
      </c>
      <c r="I6" s="24">
        <f t="shared" si="0"/>
        <v>0.51474857142857144</v>
      </c>
      <c r="J6" s="21" t="s">
        <v>17</v>
      </c>
      <c r="K6" s="24">
        <f>MAX(I4:I10)-MIN(I4:I10)</f>
        <v>0.72056857142857145</v>
      </c>
      <c r="L6" s="21"/>
      <c r="M6" s="29" t="s">
        <v>18</v>
      </c>
      <c r="N6" s="30">
        <v>3</v>
      </c>
      <c r="O6" s="30">
        <v>2</v>
      </c>
      <c r="P6" s="30">
        <v>1</v>
      </c>
      <c r="Q6" s="30">
        <v>2</v>
      </c>
      <c r="R6" s="30">
        <v>2</v>
      </c>
      <c r="S6" s="30">
        <v>3</v>
      </c>
      <c r="T6" s="30">
        <v>2</v>
      </c>
    </row>
    <row r="7" spans="1:20" ht="14.4" x14ac:dyDescent="0.25">
      <c r="A7" s="29" t="s">
        <v>7</v>
      </c>
      <c r="B7" s="24">
        <f>1-E4</f>
        <v>0.63929999999999998</v>
      </c>
      <c r="C7" s="24">
        <f>1-E5</f>
        <v>1</v>
      </c>
      <c r="D7" s="24">
        <f>1-E6</f>
        <v>1</v>
      </c>
      <c r="E7" s="24">
        <v>0.5</v>
      </c>
      <c r="F7" s="24">
        <v>0.80908000000000002</v>
      </c>
      <c r="G7" s="24">
        <v>1</v>
      </c>
      <c r="H7" s="24">
        <v>1</v>
      </c>
      <c r="I7" s="24">
        <f t="shared" si="0"/>
        <v>0.84976857142857143</v>
      </c>
      <c r="J7" s="21"/>
      <c r="K7" s="24"/>
      <c r="L7" s="21"/>
      <c r="M7" s="29" t="s">
        <v>19</v>
      </c>
      <c r="N7" s="30"/>
      <c r="O7" s="30"/>
      <c r="P7" s="30">
        <v>0.2</v>
      </c>
      <c r="Q7" s="30"/>
      <c r="R7" s="30"/>
      <c r="S7" s="30"/>
      <c r="T7" s="30">
        <v>0.1</v>
      </c>
    </row>
    <row r="8" spans="1:20" ht="14.4" x14ac:dyDescent="0.25">
      <c r="A8" s="29" t="s">
        <v>8</v>
      </c>
      <c r="B8" s="24">
        <f>1-F4</f>
        <v>0.19118999999999997</v>
      </c>
      <c r="C8" s="24">
        <f>1-F5</f>
        <v>0.19052000000000002</v>
      </c>
      <c r="D8" s="24">
        <f>1-F6</f>
        <v>3.4839999999999982E-2</v>
      </c>
      <c r="E8" s="24">
        <f>1-F7</f>
        <v>0.19091999999999998</v>
      </c>
      <c r="F8" s="24">
        <v>0.5</v>
      </c>
      <c r="G8" s="24">
        <v>0.59560000000000002</v>
      </c>
      <c r="H8" s="24">
        <v>0.59572000000000003</v>
      </c>
      <c r="I8" s="24">
        <f t="shared" si="0"/>
        <v>0.32839857142857143</v>
      </c>
      <c r="J8" s="21"/>
      <c r="K8" s="24"/>
      <c r="L8" s="21"/>
      <c r="M8" s="29" t="s">
        <v>20</v>
      </c>
      <c r="N8" s="30"/>
      <c r="O8" s="30">
        <v>0.35</v>
      </c>
      <c r="P8" s="30"/>
      <c r="Q8" s="30"/>
      <c r="R8" s="30"/>
      <c r="S8" s="30"/>
      <c r="T8" s="30"/>
    </row>
    <row r="9" spans="1:20" ht="14.4" x14ac:dyDescent="0.25">
      <c r="A9" s="29" t="s">
        <v>5</v>
      </c>
      <c r="B9" s="24">
        <f>1-G4</f>
        <v>0</v>
      </c>
      <c r="C9" s="24">
        <f>1-G5</f>
        <v>0</v>
      </c>
      <c r="D9" s="24">
        <f>1-G6</f>
        <v>0</v>
      </c>
      <c r="E9" s="24">
        <f>1-G7</f>
        <v>0</v>
      </c>
      <c r="F9" s="24">
        <f>1-G8</f>
        <v>0.40439999999999998</v>
      </c>
      <c r="G9" s="24">
        <v>0.5</v>
      </c>
      <c r="H9" s="24">
        <v>0</v>
      </c>
      <c r="I9" s="24">
        <f t="shared" si="0"/>
        <v>0.12920000000000001</v>
      </c>
      <c r="J9" s="21"/>
      <c r="K9" s="24"/>
      <c r="L9" s="21"/>
      <c r="M9" s="29" t="s">
        <v>21</v>
      </c>
      <c r="N9" s="30" t="s">
        <v>27</v>
      </c>
      <c r="O9" s="30"/>
      <c r="P9" s="30"/>
      <c r="Q9" s="30"/>
      <c r="R9" s="30"/>
      <c r="S9" s="30"/>
      <c r="T9" s="30"/>
    </row>
    <row r="10" spans="1:20" ht="14.4" x14ac:dyDescent="0.25">
      <c r="A10" s="21" t="s">
        <v>6</v>
      </c>
      <c r="B10" s="22">
        <f>1-H4</f>
        <v>0</v>
      </c>
      <c r="C10" s="22">
        <f>1-H5</f>
        <v>1</v>
      </c>
      <c r="D10" s="22">
        <f>1-H6</f>
        <v>0.50056</v>
      </c>
      <c r="E10" s="22">
        <f>1-H7</f>
        <v>0</v>
      </c>
      <c r="F10" s="22">
        <f>1-H8</f>
        <v>0.40427999999999997</v>
      </c>
      <c r="G10" s="22">
        <f>1-H9</f>
        <v>1</v>
      </c>
      <c r="H10" s="22">
        <v>0.5</v>
      </c>
      <c r="I10" s="22">
        <f t="shared" si="0"/>
        <v>0.48640571428571427</v>
      </c>
      <c r="J10" s="21"/>
      <c r="K10" s="24"/>
      <c r="L10" s="21"/>
      <c r="M10" s="21"/>
      <c r="N10" s="21"/>
      <c r="O10" s="21"/>
      <c r="P10" s="21"/>
      <c r="Q10" s="21"/>
      <c r="R10" s="21"/>
      <c r="S10" s="21"/>
      <c r="T10" s="21"/>
    </row>
    <row r="11" spans="1:20" ht="14.4" x14ac:dyDescent="0.25">
      <c r="A11" s="37" t="s">
        <v>23</v>
      </c>
      <c r="B11" s="37"/>
      <c r="C11" s="37"/>
      <c r="D11" s="37"/>
      <c r="E11" s="37"/>
      <c r="F11" s="37"/>
      <c r="G11" s="37"/>
      <c r="H11" s="37"/>
      <c r="I11" s="37"/>
      <c r="J11" s="21"/>
      <c r="K11" s="24"/>
      <c r="L11" s="21"/>
      <c r="M11" s="21"/>
      <c r="N11" s="21"/>
      <c r="O11" s="21"/>
      <c r="P11" s="21"/>
      <c r="Q11" s="21"/>
      <c r="R11" s="21"/>
      <c r="S11" s="21"/>
      <c r="T11" s="21"/>
    </row>
    <row r="12" spans="1:20" ht="14.4" x14ac:dyDescent="0.25">
      <c r="A12" s="27"/>
      <c r="B12" s="28" t="s">
        <v>9</v>
      </c>
      <c r="C12" s="28" t="s">
        <v>2</v>
      </c>
      <c r="D12" s="28" t="s">
        <v>3</v>
      </c>
      <c r="E12" s="28" t="s">
        <v>7</v>
      </c>
      <c r="F12" s="28" t="s">
        <v>8</v>
      </c>
      <c r="G12" s="28" t="s">
        <v>5</v>
      </c>
      <c r="H12" s="28" t="s">
        <v>6</v>
      </c>
      <c r="I12" s="28" t="s">
        <v>10</v>
      </c>
      <c r="J12" s="21"/>
      <c r="K12" s="24"/>
      <c r="L12" s="21"/>
      <c r="M12" s="21"/>
      <c r="N12" s="21"/>
      <c r="O12" s="21"/>
      <c r="P12" s="21"/>
      <c r="Q12" s="21"/>
      <c r="R12" s="21"/>
      <c r="S12" s="21"/>
      <c r="T12" s="21"/>
    </row>
    <row r="13" spans="1:20" ht="14.4" x14ac:dyDescent="0.25">
      <c r="A13" s="29" t="s">
        <v>9</v>
      </c>
      <c r="B13" s="24" t="s">
        <v>12</v>
      </c>
      <c r="C13" s="24">
        <v>0.39299000000000001</v>
      </c>
      <c r="D13" s="24">
        <v>0.39676</v>
      </c>
      <c r="E13" s="24">
        <v>0.39512000000000003</v>
      </c>
      <c r="F13" s="24">
        <v>0.83070999999999995</v>
      </c>
      <c r="G13" s="24">
        <v>0.84118999999999999</v>
      </c>
      <c r="H13" s="24">
        <v>0.84060999999999997</v>
      </c>
      <c r="I13" s="24">
        <f t="shared" ref="I13:I19" si="1">AVERAGE(B13:D13,G13:H13)</f>
        <v>0.61788749999999992</v>
      </c>
      <c r="J13" s="21" t="s">
        <v>13</v>
      </c>
      <c r="K13" s="24">
        <f>VARP(I13:I19)</f>
        <v>4.9466545857704131E-2</v>
      </c>
      <c r="L13" s="21"/>
      <c r="M13" s="21"/>
      <c r="N13" s="21"/>
      <c r="O13" s="21"/>
      <c r="P13" s="21"/>
      <c r="Q13" s="21"/>
      <c r="R13" s="21"/>
      <c r="S13" s="21"/>
      <c r="T13" s="21"/>
    </row>
    <row r="14" spans="1:20" ht="14.4" x14ac:dyDescent="0.25">
      <c r="A14" s="29" t="s">
        <v>2</v>
      </c>
      <c r="B14" s="24">
        <f>1-C13</f>
        <v>0.60701000000000005</v>
      </c>
      <c r="C14" s="24" t="s">
        <v>12</v>
      </c>
      <c r="D14" s="24">
        <v>1</v>
      </c>
      <c r="E14" s="24">
        <v>1.511E-2</v>
      </c>
      <c r="F14" s="24">
        <v>0.80332000000000003</v>
      </c>
      <c r="G14" s="24">
        <v>0.99395</v>
      </c>
      <c r="H14" s="24">
        <v>0</v>
      </c>
      <c r="I14" s="24">
        <f t="shared" si="1"/>
        <v>0.65024000000000004</v>
      </c>
      <c r="J14" s="21" t="s">
        <v>15</v>
      </c>
      <c r="K14" s="24">
        <f t="array" ref="K14">AVERAGE(IF(ISNUMBER(B13:H19), ABS(B13:H19-0.5), ""))</f>
        <v>0.29054857142857149</v>
      </c>
      <c r="L14" s="21"/>
      <c r="M14" s="21"/>
      <c r="N14" s="21"/>
      <c r="O14" s="21"/>
      <c r="P14" s="21"/>
      <c r="Q14" s="21"/>
      <c r="R14" s="21"/>
      <c r="S14" s="21"/>
      <c r="T14" s="21"/>
    </row>
    <row r="15" spans="1:20" ht="14.4" x14ac:dyDescent="0.25">
      <c r="A15" s="29" t="s">
        <v>3</v>
      </c>
      <c r="B15" s="24">
        <f>1-D13</f>
        <v>0.60324</v>
      </c>
      <c r="C15" s="24">
        <f>1-D14</f>
        <v>0</v>
      </c>
      <c r="D15" s="24" t="s">
        <v>12</v>
      </c>
      <c r="E15" s="24">
        <v>9.3149999999999997E-2</v>
      </c>
      <c r="F15" s="24">
        <v>0.99011000000000005</v>
      </c>
      <c r="G15" s="24">
        <v>0.59209000000000001</v>
      </c>
      <c r="H15" s="24">
        <v>0.50002999999999997</v>
      </c>
      <c r="I15" s="24">
        <f t="shared" si="1"/>
        <v>0.42383999999999999</v>
      </c>
      <c r="J15" s="21" t="s">
        <v>17</v>
      </c>
      <c r="K15" s="24">
        <f>MAX(I13:I19)-MIN(I13:I19)</f>
        <v>0.63894550000000006</v>
      </c>
      <c r="L15" s="21"/>
      <c r="M15" s="21"/>
      <c r="N15" s="21"/>
      <c r="O15" s="21"/>
      <c r="P15" s="21"/>
      <c r="Q15" s="21"/>
      <c r="R15" s="21"/>
      <c r="S15" s="21"/>
      <c r="T15" s="21"/>
    </row>
    <row r="16" spans="1:20" ht="14.4" x14ac:dyDescent="0.25">
      <c r="A16" s="29" t="s">
        <v>7</v>
      </c>
      <c r="B16" s="24">
        <f>1-E13</f>
        <v>0.60487999999999997</v>
      </c>
      <c r="C16" s="24">
        <f>1-E14</f>
        <v>0.98489000000000004</v>
      </c>
      <c r="D16" s="24">
        <f>1-E15</f>
        <v>0.90685000000000004</v>
      </c>
      <c r="E16" s="24" t="s">
        <v>12</v>
      </c>
      <c r="F16" s="24">
        <v>0.80547999999999997</v>
      </c>
      <c r="G16" s="24">
        <v>0.93767999999999996</v>
      </c>
      <c r="H16" s="24">
        <v>0.56198999999999999</v>
      </c>
      <c r="I16" s="24">
        <f t="shared" si="1"/>
        <v>0.79925800000000002</v>
      </c>
      <c r="J16" s="21"/>
      <c r="K16" s="24"/>
      <c r="L16" s="21"/>
      <c r="M16" s="21"/>
      <c r="N16" s="21"/>
      <c r="O16" s="21"/>
      <c r="P16" s="21"/>
      <c r="Q16" s="21"/>
      <c r="R16" s="21"/>
      <c r="S16" s="21"/>
      <c r="T16" s="21"/>
    </row>
    <row r="17" spans="1:20" ht="14.4" x14ac:dyDescent="0.25">
      <c r="A17" s="29" t="s">
        <v>8</v>
      </c>
      <c r="B17" s="24">
        <f>1-F13</f>
        <v>0.16929000000000005</v>
      </c>
      <c r="C17" s="24">
        <f>1-F14</f>
        <v>0.19667999999999997</v>
      </c>
      <c r="D17" s="24">
        <f>1-F15</f>
        <v>9.8899999999999544E-3</v>
      </c>
      <c r="E17" s="24">
        <f>1-F16</f>
        <v>0.19452000000000003</v>
      </c>
      <c r="F17" s="24" t="s">
        <v>12</v>
      </c>
      <c r="G17" s="24">
        <v>0.38328000000000001</v>
      </c>
      <c r="H17" s="24">
        <v>0.35075000000000001</v>
      </c>
      <c r="I17" s="24">
        <f t="shared" si="1"/>
        <v>0.22197800000000001</v>
      </c>
      <c r="J17" s="21"/>
      <c r="K17" s="24"/>
      <c r="L17" s="21"/>
      <c r="M17" s="21"/>
      <c r="N17" s="21"/>
      <c r="O17" s="21"/>
      <c r="P17" s="21"/>
      <c r="Q17" s="21"/>
      <c r="R17" s="21"/>
      <c r="S17" s="21"/>
      <c r="T17" s="21"/>
    </row>
    <row r="18" spans="1:20" ht="14.4" x14ac:dyDescent="0.25">
      <c r="A18" s="29" t="s">
        <v>5</v>
      </c>
      <c r="B18" s="24">
        <f>1-G13</f>
        <v>0.15881000000000001</v>
      </c>
      <c r="C18" s="24">
        <f>1-G14</f>
        <v>6.0499999999999998E-3</v>
      </c>
      <c r="D18" s="24">
        <f>1-G15</f>
        <v>0.40790999999999999</v>
      </c>
      <c r="E18" s="24">
        <f>1-G16</f>
        <v>6.2320000000000042E-2</v>
      </c>
      <c r="F18" s="24">
        <f>1-G17</f>
        <v>0.61671999999999993</v>
      </c>
      <c r="G18" s="24" t="s">
        <v>12</v>
      </c>
      <c r="H18" s="24">
        <v>6.8479999999999999E-2</v>
      </c>
      <c r="I18" s="24">
        <f t="shared" si="1"/>
        <v>0.1603125</v>
      </c>
      <c r="J18" s="21"/>
      <c r="K18" s="24"/>
      <c r="L18" s="21"/>
      <c r="M18" s="21"/>
      <c r="N18" s="21"/>
      <c r="O18" s="21"/>
      <c r="P18" s="21"/>
      <c r="Q18" s="21"/>
      <c r="R18" s="21"/>
      <c r="S18" s="21"/>
      <c r="T18" s="21"/>
    </row>
    <row r="19" spans="1:20" ht="14.4" x14ac:dyDescent="0.25">
      <c r="A19" s="21" t="s">
        <v>6</v>
      </c>
      <c r="B19" s="22">
        <f>1-H13</f>
        <v>0.15939000000000003</v>
      </c>
      <c r="C19" s="22">
        <f>1-H14</f>
        <v>1</v>
      </c>
      <c r="D19" s="22">
        <f>1-H15</f>
        <v>0.49997000000000003</v>
      </c>
      <c r="E19" s="22">
        <f>1-H16</f>
        <v>0.43801000000000001</v>
      </c>
      <c r="F19" s="22">
        <f>1-H17</f>
        <v>0.64924999999999999</v>
      </c>
      <c r="G19" s="22">
        <f>1-H18</f>
        <v>0.93152000000000001</v>
      </c>
      <c r="H19" s="22" t="s">
        <v>12</v>
      </c>
      <c r="I19" s="22">
        <f t="shared" si="1"/>
        <v>0.64772000000000007</v>
      </c>
      <c r="J19" s="21"/>
      <c r="K19" s="24"/>
      <c r="L19" s="21"/>
      <c r="M19" s="21"/>
      <c r="N19" s="21"/>
      <c r="O19" s="21"/>
      <c r="P19" s="21"/>
      <c r="Q19" s="21"/>
      <c r="R19" s="21"/>
      <c r="S19" s="21"/>
      <c r="T19" s="21"/>
    </row>
    <row r="20" spans="1:20" ht="14.4" x14ac:dyDescent="0.25">
      <c r="A20" s="37" t="s">
        <v>24</v>
      </c>
      <c r="B20" s="37"/>
      <c r="C20" s="37"/>
      <c r="D20" s="37"/>
      <c r="E20" s="37"/>
      <c r="F20" s="37"/>
      <c r="G20" s="37"/>
      <c r="H20" s="37"/>
      <c r="I20" s="37"/>
      <c r="J20" s="21"/>
      <c r="K20" s="24"/>
      <c r="L20" s="21"/>
      <c r="M20" s="21"/>
      <c r="N20" s="21"/>
      <c r="O20" s="21"/>
      <c r="P20" s="21"/>
      <c r="Q20" s="21"/>
      <c r="R20" s="21"/>
      <c r="S20" s="21"/>
      <c r="T20" s="21"/>
    </row>
    <row r="21" spans="1:20" ht="14.4" x14ac:dyDescent="0.25">
      <c r="A21" s="27"/>
      <c r="B21" s="28" t="s">
        <v>9</v>
      </c>
      <c r="C21" s="28" t="s">
        <v>2</v>
      </c>
      <c r="D21" s="28" t="s">
        <v>3</v>
      </c>
      <c r="E21" s="28" t="s">
        <v>7</v>
      </c>
      <c r="F21" s="28" t="s">
        <v>8</v>
      </c>
      <c r="G21" s="28" t="s">
        <v>5</v>
      </c>
      <c r="H21" s="28" t="s">
        <v>6</v>
      </c>
      <c r="I21" s="28" t="s">
        <v>10</v>
      </c>
      <c r="J21" s="21"/>
      <c r="K21" s="24"/>
      <c r="L21" s="21"/>
      <c r="M21" s="21"/>
      <c r="N21" s="21"/>
      <c r="O21" s="21"/>
      <c r="P21" s="21"/>
      <c r="Q21" s="21"/>
      <c r="R21" s="21"/>
      <c r="S21" s="21"/>
      <c r="T21" s="21"/>
    </row>
    <row r="22" spans="1:20" ht="14.4" x14ac:dyDescent="0.25">
      <c r="A22" s="29" t="s">
        <v>9</v>
      </c>
      <c r="B22" s="24">
        <v>0.5</v>
      </c>
      <c r="C22" s="24">
        <v>0.46078999999999998</v>
      </c>
      <c r="D22" s="24">
        <v>0.45488000000000001</v>
      </c>
      <c r="E22" s="24">
        <v>0.45722000000000002</v>
      </c>
      <c r="F22" s="24">
        <v>0.83616000000000001</v>
      </c>
      <c r="G22" s="24">
        <v>0.60057000000000005</v>
      </c>
      <c r="H22" s="24">
        <v>0.77341000000000004</v>
      </c>
      <c r="I22" s="24">
        <f t="shared" ref="I22:I28" si="2">AVERAGE(B22:D22,G22:H22)</f>
        <v>0.55793000000000004</v>
      </c>
      <c r="J22" s="21" t="s">
        <v>13</v>
      </c>
      <c r="K22" s="24">
        <f>VARP(I22:I28)</f>
        <v>2.9642434929959115E-2</v>
      </c>
      <c r="L22" s="21"/>
      <c r="M22" s="21"/>
      <c r="N22" s="21"/>
      <c r="O22" s="21"/>
      <c r="P22" s="21"/>
      <c r="Q22" s="21"/>
      <c r="R22" s="21"/>
      <c r="S22" s="21"/>
      <c r="T22" s="21"/>
    </row>
    <row r="23" spans="1:20" ht="14.4" x14ac:dyDescent="0.25">
      <c r="A23" s="29" t="s">
        <v>2</v>
      </c>
      <c r="B23" s="24">
        <f>1-C22</f>
        <v>0.53920999999999997</v>
      </c>
      <c r="C23" s="24">
        <v>0.5</v>
      </c>
      <c r="D23" s="24">
        <v>0.99941000000000002</v>
      </c>
      <c r="E23" s="24">
        <v>7.6299999999999996E-3</v>
      </c>
      <c r="F23" s="24">
        <v>0.73975999999999997</v>
      </c>
      <c r="G23" s="24">
        <v>0.98046</v>
      </c>
      <c r="H23" s="24">
        <v>3.4399999999999999E-3</v>
      </c>
      <c r="I23" s="24">
        <f t="shared" si="2"/>
        <v>0.60450399999999993</v>
      </c>
      <c r="J23" s="21" t="s">
        <v>15</v>
      </c>
      <c r="K23" s="24">
        <f t="array" ref="K23">AVERAGE(IF(ISNUMBER(B22:H28), ABS(B22:H28-0.5), ""))</f>
        <v>0.23428816326530619</v>
      </c>
      <c r="L23" s="21"/>
      <c r="M23" s="21"/>
      <c r="N23" s="21"/>
      <c r="O23" s="21"/>
      <c r="P23" s="21"/>
      <c r="Q23" s="21"/>
      <c r="R23" s="21"/>
      <c r="S23" s="21"/>
      <c r="T23" s="21"/>
    </row>
    <row r="24" spans="1:20" ht="14.4" x14ac:dyDescent="0.25">
      <c r="A24" s="29" t="s">
        <v>3</v>
      </c>
      <c r="B24" s="24">
        <f>1-D22</f>
        <v>0.54512000000000005</v>
      </c>
      <c r="C24" s="24">
        <f>1-D23</f>
        <v>5.8999999999997943E-4</v>
      </c>
      <c r="D24" s="24">
        <v>0.5</v>
      </c>
      <c r="E24" s="24">
        <v>0.12136</v>
      </c>
      <c r="F24" s="24">
        <v>0.99692999999999998</v>
      </c>
      <c r="G24" s="24">
        <v>0.18837000000000001</v>
      </c>
      <c r="H24" s="24">
        <v>0.498</v>
      </c>
      <c r="I24" s="24">
        <f t="shared" si="2"/>
        <v>0.346416</v>
      </c>
      <c r="J24" s="21" t="s">
        <v>17</v>
      </c>
      <c r="K24" s="24">
        <f>MAX(I22:I28)-MIN(I22:I28)</f>
        <v>0.48901200000000011</v>
      </c>
      <c r="L24" s="21"/>
      <c r="M24" s="21"/>
      <c r="N24" s="21"/>
      <c r="O24" s="21"/>
      <c r="P24" s="21"/>
      <c r="Q24" s="21"/>
      <c r="R24" s="21"/>
      <c r="S24" s="21"/>
      <c r="T24" s="21"/>
    </row>
    <row r="25" spans="1:20" ht="14.4" x14ac:dyDescent="0.25">
      <c r="A25" s="29" t="s">
        <v>7</v>
      </c>
      <c r="B25" s="24">
        <f>1-E22</f>
        <v>0.54278000000000004</v>
      </c>
      <c r="C25" s="24">
        <f>1-E23</f>
        <v>0.99236999999999997</v>
      </c>
      <c r="D25" s="24">
        <f>1-E24</f>
        <v>0.87863999999999998</v>
      </c>
      <c r="E25" s="24">
        <v>0.5</v>
      </c>
      <c r="F25" s="24">
        <v>0.73950000000000005</v>
      </c>
      <c r="G25" s="24">
        <v>0.49006</v>
      </c>
      <c r="H25" s="24">
        <v>0.31630000000000003</v>
      </c>
      <c r="I25" s="24">
        <f t="shared" si="2"/>
        <v>0.6440300000000001</v>
      </c>
      <c r="J25" s="21"/>
      <c r="K25" s="24"/>
      <c r="L25" s="21"/>
      <c r="M25" s="21"/>
      <c r="N25" s="21"/>
      <c r="O25" s="21"/>
      <c r="P25" s="21"/>
      <c r="Q25" s="21"/>
      <c r="R25" s="21"/>
      <c r="S25" s="21"/>
      <c r="T25" s="21"/>
    </row>
    <row r="26" spans="1:20" ht="14.4" x14ac:dyDescent="0.25">
      <c r="A26" s="29" t="s">
        <v>8</v>
      </c>
      <c r="B26" s="24">
        <f>1-F22</f>
        <v>0.16383999999999999</v>
      </c>
      <c r="C26" s="24">
        <f>1-F23</f>
        <v>0.26024000000000003</v>
      </c>
      <c r="D26" s="24">
        <f>1-F24</f>
        <v>3.0700000000000172E-3</v>
      </c>
      <c r="E26" s="24">
        <f>1-F25</f>
        <v>0.26049999999999995</v>
      </c>
      <c r="F26" s="24">
        <v>0.5</v>
      </c>
      <c r="G26" s="24">
        <v>0.11645999999999999</v>
      </c>
      <c r="H26" s="24">
        <v>0.23147999999999999</v>
      </c>
      <c r="I26" s="24">
        <f t="shared" si="2"/>
        <v>0.15501800000000002</v>
      </c>
      <c r="J26" s="21"/>
      <c r="K26" s="24"/>
      <c r="L26" s="21"/>
      <c r="M26" s="21"/>
      <c r="N26" s="21"/>
      <c r="O26" s="21"/>
      <c r="P26" s="21"/>
      <c r="Q26" s="21"/>
      <c r="R26" s="21"/>
      <c r="S26" s="21"/>
      <c r="T26" s="21"/>
    </row>
    <row r="27" spans="1:20" ht="14.4" x14ac:dyDescent="0.25">
      <c r="A27" s="29" t="s">
        <v>5</v>
      </c>
      <c r="B27" s="24">
        <f>1-G22</f>
        <v>0.39942999999999995</v>
      </c>
      <c r="C27" s="24">
        <f>1-G23</f>
        <v>1.9540000000000002E-2</v>
      </c>
      <c r="D27" s="24">
        <f>1-G24</f>
        <v>0.81162999999999996</v>
      </c>
      <c r="E27" s="24">
        <f>1-G25</f>
        <v>0.50994000000000006</v>
      </c>
      <c r="F27" s="24">
        <f>1-G26</f>
        <v>0.88353999999999999</v>
      </c>
      <c r="G27" s="24">
        <v>0.5</v>
      </c>
      <c r="H27" s="24">
        <v>8.0149999999999999E-2</v>
      </c>
      <c r="I27" s="24">
        <f t="shared" si="2"/>
        <v>0.36214999999999997</v>
      </c>
      <c r="J27" s="21"/>
      <c r="K27" s="24"/>
      <c r="L27" s="21"/>
      <c r="M27" s="21"/>
      <c r="N27" s="21"/>
      <c r="O27" s="21"/>
      <c r="P27" s="21"/>
      <c r="Q27" s="21"/>
      <c r="R27" s="21"/>
      <c r="S27" s="21"/>
      <c r="T27" s="21"/>
    </row>
    <row r="28" spans="1:20" ht="14.4" x14ac:dyDescent="0.25">
      <c r="A28" s="21" t="s">
        <v>6</v>
      </c>
      <c r="B28" s="22">
        <f>1-H22</f>
        <v>0.22658999999999996</v>
      </c>
      <c r="C28" s="22">
        <f>1-H23</f>
        <v>0.99656</v>
      </c>
      <c r="D28" s="22">
        <f>1-H24</f>
        <v>0.502</v>
      </c>
      <c r="E28" s="22">
        <f>1-H25</f>
        <v>0.68369999999999997</v>
      </c>
      <c r="F28" s="22">
        <f>1-H26</f>
        <v>0.76851999999999998</v>
      </c>
      <c r="G28" s="22">
        <f>1-H27</f>
        <v>0.91985000000000006</v>
      </c>
      <c r="H28" s="22">
        <v>0.5</v>
      </c>
      <c r="I28" s="22">
        <f t="shared" si="2"/>
        <v>0.629</v>
      </c>
      <c r="J28" s="21"/>
      <c r="K28" s="24"/>
      <c r="L28" s="21"/>
      <c r="M28" s="21"/>
      <c r="N28" s="21"/>
      <c r="O28" s="21"/>
      <c r="P28" s="21"/>
      <c r="Q28" s="21"/>
      <c r="R28" s="21"/>
      <c r="S28" s="21"/>
      <c r="T28" s="21"/>
    </row>
    <row r="29" spans="1:20" ht="14.4" x14ac:dyDescent="0.25">
      <c r="A29" s="37" t="s">
        <v>25</v>
      </c>
      <c r="B29" s="37"/>
      <c r="C29" s="37"/>
      <c r="D29" s="37"/>
      <c r="E29" s="37"/>
      <c r="F29" s="37"/>
      <c r="G29" s="37"/>
      <c r="H29" s="37"/>
      <c r="I29" s="37"/>
      <c r="J29" s="21"/>
      <c r="K29" s="24"/>
      <c r="L29" s="21"/>
      <c r="M29" s="21"/>
      <c r="N29" s="21"/>
      <c r="O29" s="21"/>
      <c r="P29" s="21"/>
      <c r="Q29" s="21"/>
      <c r="R29" s="21"/>
      <c r="S29" s="21"/>
      <c r="T29" s="21"/>
    </row>
    <row r="30" spans="1:20" ht="14.4" x14ac:dyDescent="0.25">
      <c r="A30" s="27"/>
      <c r="B30" s="28" t="s">
        <v>9</v>
      </c>
      <c r="C30" s="28" t="s">
        <v>2</v>
      </c>
      <c r="D30" s="28" t="s">
        <v>3</v>
      </c>
      <c r="E30" s="28" t="s">
        <v>7</v>
      </c>
      <c r="F30" s="28" t="s">
        <v>8</v>
      </c>
      <c r="G30" s="28" t="s">
        <v>5</v>
      </c>
      <c r="H30" s="28" t="s">
        <v>6</v>
      </c>
      <c r="I30" s="28" t="s">
        <v>10</v>
      </c>
      <c r="J30" s="21"/>
      <c r="K30" s="24"/>
      <c r="L30" s="21"/>
      <c r="M30" s="21"/>
      <c r="N30" s="21"/>
      <c r="O30" s="21"/>
      <c r="P30" s="21"/>
      <c r="Q30" s="21"/>
      <c r="R30" s="21"/>
      <c r="S30" s="21"/>
      <c r="T30" s="21"/>
    </row>
    <row r="31" spans="1:20" ht="14.4" x14ac:dyDescent="0.25">
      <c r="A31" s="29" t="s">
        <v>9</v>
      </c>
      <c r="B31" s="24" t="s">
        <v>12</v>
      </c>
      <c r="C31" s="24">
        <v>0.44233</v>
      </c>
      <c r="D31" s="24">
        <v>0.44346999999999998</v>
      </c>
      <c r="E31" s="24">
        <v>0.44120999999999999</v>
      </c>
      <c r="F31" s="24">
        <v>0.90722000000000003</v>
      </c>
      <c r="G31" s="24">
        <v>0.18854000000000001</v>
      </c>
      <c r="H31" s="24">
        <v>0.78034999999999999</v>
      </c>
      <c r="I31" s="24">
        <f t="shared" ref="I31:I37" si="3">AVERAGE(B31:H31)</f>
        <v>0.5338533333333334</v>
      </c>
      <c r="J31" s="21" t="s">
        <v>13</v>
      </c>
      <c r="K31" s="24">
        <f>VARP(I31:I37)</f>
        <v>3.3037543425396894E-2</v>
      </c>
      <c r="L31" s="21"/>
      <c r="M31" s="21"/>
      <c r="N31" s="21"/>
      <c r="O31" s="21"/>
      <c r="P31" s="21"/>
      <c r="Q31" s="21"/>
      <c r="R31" s="21"/>
      <c r="S31" s="21"/>
      <c r="T31" s="21"/>
    </row>
    <row r="32" spans="1:20" ht="14.4" x14ac:dyDescent="0.25">
      <c r="A32" s="29" t="s">
        <v>2</v>
      </c>
      <c r="B32" s="24">
        <f>1-C31</f>
        <v>0.55767</v>
      </c>
      <c r="C32" s="24" t="s">
        <v>12</v>
      </c>
      <c r="D32" s="24">
        <v>0.99994000000000005</v>
      </c>
      <c r="E32" s="24">
        <v>3.4499999999999999E-3</v>
      </c>
      <c r="F32" s="24">
        <v>0.78364</v>
      </c>
      <c r="G32" s="24">
        <v>0.98136999999999996</v>
      </c>
      <c r="H32" s="24">
        <v>0</v>
      </c>
      <c r="I32" s="24">
        <f t="shared" si="3"/>
        <v>0.55434499999999998</v>
      </c>
      <c r="J32" s="21" t="s">
        <v>15</v>
      </c>
      <c r="K32" s="24">
        <f t="array" ref="K32">AVERAGE(IF(ISNUMBER(B31:H37), ABS(B31:H37-0.5), ""))</f>
        <v>0.32783571428571434</v>
      </c>
      <c r="L32" s="21"/>
      <c r="M32" s="21"/>
      <c r="N32" s="21"/>
      <c r="O32" s="21"/>
      <c r="P32" s="21"/>
      <c r="Q32" s="21"/>
      <c r="R32" s="21"/>
      <c r="S32" s="21"/>
      <c r="T32" s="21"/>
    </row>
    <row r="33" spans="1:20" ht="14.4" x14ac:dyDescent="0.25">
      <c r="A33" s="29" t="s">
        <v>3</v>
      </c>
      <c r="B33" s="24">
        <f>1-D31</f>
        <v>0.55652999999999997</v>
      </c>
      <c r="C33" s="24">
        <f>1-D32</f>
        <v>5.9999999999948983E-5</v>
      </c>
      <c r="D33" s="24" t="s">
        <v>12</v>
      </c>
      <c r="E33" s="24">
        <v>8.5279999999999995E-2</v>
      </c>
      <c r="F33" s="24">
        <v>0.99907999999999997</v>
      </c>
      <c r="G33" s="24">
        <v>2.1569999999999999E-2</v>
      </c>
      <c r="H33" s="24">
        <v>0.49902999999999997</v>
      </c>
      <c r="I33" s="24">
        <f t="shared" si="3"/>
        <v>0.36025833333333335</v>
      </c>
      <c r="J33" s="21" t="s">
        <v>17</v>
      </c>
      <c r="K33" s="24">
        <f>MAX(I31:I37)-MIN(I31:I37)</f>
        <v>0.56936166666666677</v>
      </c>
      <c r="L33" s="21"/>
      <c r="M33" s="21"/>
      <c r="N33" s="21"/>
      <c r="O33" s="21"/>
      <c r="P33" s="21"/>
      <c r="Q33" s="21"/>
      <c r="R33" s="21"/>
      <c r="S33" s="21"/>
      <c r="T33" s="21"/>
    </row>
    <row r="34" spans="1:20" ht="14.4" x14ac:dyDescent="0.25">
      <c r="A34" s="29" t="s">
        <v>7</v>
      </c>
      <c r="B34" s="24">
        <f>1-E31</f>
        <v>0.55879000000000001</v>
      </c>
      <c r="C34" s="24">
        <f>1-E32</f>
        <v>0.99655000000000005</v>
      </c>
      <c r="D34" s="24">
        <f>1-E33</f>
        <v>0.91471999999999998</v>
      </c>
      <c r="E34" s="24" t="s">
        <v>12</v>
      </c>
      <c r="F34" s="24">
        <v>0.78291999999999995</v>
      </c>
      <c r="G34" s="24">
        <v>0.12919</v>
      </c>
      <c r="H34" s="24">
        <v>0.25723000000000001</v>
      </c>
      <c r="I34" s="24">
        <f t="shared" si="3"/>
        <v>0.60656666666666659</v>
      </c>
      <c r="J34" s="21"/>
      <c r="K34" s="24"/>
      <c r="L34" s="21"/>
      <c r="M34" s="21"/>
      <c r="N34" s="21"/>
      <c r="O34" s="21"/>
      <c r="P34" s="21"/>
      <c r="Q34" s="21"/>
      <c r="R34" s="21"/>
      <c r="S34" s="21"/>
      <c r="T34" s="21"/>
    </row>
    <row r="35" spans="1:20" ht="14.4" x14ac:dyDescent="0.25">
      <c r="A35" s="29" t="s">
        <v>8</v>
      </c>
      <c r="B35" s="24">
        <f>1-F31</f>
        <v>9.2779999999999974E-2</v>
      </c>
      <c r="C35" s="24">
        <f>1-F32</f>
        <v>0.21636</v>
      </c>
      <c r="D35" s="24">
        <f>1-F33</f>
        <v>9.200000000000319E-4</v>
      </c>
      <c r="E35" s="24">
        <f>1-F34</f>
        <v>0.21708000000000005</v>
      </c>
      <c r="F35" s="24" t="s">
        <v>12</v>
      </c>
      <c r="G35" s="24">
        <v>2.7109999999999999E-2</v>
      </c>
      <c r="H35" s="24">
        <v>0.18140999999999999</v>
      </c>
      <c r="I35" s="24">
        <f t="shared" si="3"/>
        <v>0.12261</v>
      </c>
      <c r="J35" s="21"/>
      <c r="K35" s="24"/>
      <c r="L35" s="21"/>
      <c r="M35" s="21"/>
      <c r="N35" s="21"/>
      <c r="O35" s="21"/>
      <c r="P35" s="21"/>
      <c r="Q35" s="21"/>
      <c r="R35" s="21"/>
      <c r="S35" s="21"/>
      <c r="T35" s="21"/>
    </row>
    <row r="36" spans="1:20" ht="14.4" x14ac:dyDescent="0.25">
      <c r="A36" s="29" t="s">
        <v>5</v>
      </c>
      <c r="B36" s="24">
        <f>1-G31</f>
        <v>0.81145999999999996</v>
      </c>
      <c r="C36" s="24">
        <f>1-G32</f>
        <v>1.8630000000000035E-2</v>
      </c>
      <c r="D36" s="24">
        <f>1-G33</f>
        <v>0.97843000000000002</v>
      </c>
      <c r="E36" s="24">
        <f>1-G34</f>
        <v>0.87080999999999997</v>
      </c>
      <c r="F36" s="24">
        <f>1-G35</f>
        <v>0.97289000000000003</v>
      </c>
      <c r="G36" s="24" t="s">
        <v>12</v>
      </c>
      <c r="H36" s="24">
        <v>0.13014999999999999</v>
      </c>
      <c r="I36" s="24">
        <f t="shared" si="3"/>
        <v>0.63039500000000004</v>
      </c>
      <c r="J36" s="21"/>
      <c r="K36" s="24"/>
      <c r="L36" s="21"/>
      <c r="M36" s="21"/>
      <c r="N36" s="21"/>
      <c r="O36" s="21"/>
      <c r="P36" s="21"/>
      <c r="Q36" s="21"/>
      <c r="R36" s="21"/>
      <c r="S36" s="21"/>
      <c r="T36" s="21"/>
    </row>
    <row r="37" spans="1:20" ht="14.4" x14ac:dyDescent="0.25">
      <c r="A37" s="21" t="s">
        <v>6</v>
      </c>
      <c r="B37" s="22">
        <f>1-H31</f>
        <v>0.21965000000000001</v>
      </c>
      <c r="C37" s="22">
        <f>1-H32</f>
        <v>1</v>
      </c>
      <c r="D37" s="22">
        <f>1-H33</f>
        <v>0.50097000000000003</v>
      </c>
      <c r="E37" s="22">
        <f>1-H34</f>
        <v>0.74276999999999993</v>
      </c>
      <c r="F37" s="22">
        <f>1-H35</f>
        <v>0.81859000000000004</v>
      </c>
      <c r="G37" s="22">
        <f>1-H36</f>
        <v>0.86985000000000001</v>
      </c>
      <c r="H37" s="22" t="s">
        <v>12</v>
      </c>
      <c r="I37" s="22">
        <f t="shared" si="3"/>
        <v>0.69197166666666676</v>
      </c>
      <c r="J37" s="21"/>
      <c r="K37" s="24"/>
      <c r="L37" s="21"/>
      <c r="M37" s="21"/>
      <c r="N37" s="21"/>
      <c r="O37" s="21"/>
      <c r="P37" s="21"/>
      <c r="Q37" s="21"/>
      <c r="R37" s="21"/>
      <c r="S37" s="21"/>
      <c r="T37" s="21"/>
    </row>
    <row r="38" spans="1:20" ht="14.4" x14ac:dyDescent="0.25">
      <c r="A38" s="37" t="s">
        <v>26</v>
      </c>
      <c r="B38" s="37"/>
      <c r="C38" s="37"/>
      <c r="D38" s="37"/>
      <c r="E38" s="37"/>
      <c r="F38" s="37"/>
      <c r="G38" s="37"/>
      <c r="H38" s="37"/>
      <c r="I38" s="37"/>
      <c r="J38" s="21"/>
      <c r="K38" s="24"/>
      <c r="L38" s="21"/>
      <c r="M38" s="21"/>
      <c r="N38" s="21"/>
      <c r="O38" s="21"/>
      <c r="P38" s="21"/>
      <c r="Q38" s="21"/>
      <c r="R38" s="21"/>
      <c r="S38" s="21"/>
      <c r="T38" s="21"/>
    </row>
    <row r="39" spans="1:20" ht="14.4" x14ac:dyDescent="0.25">
      <c r="A39" s="27"/>
      <c r="B39" s="28" t="s">
        <v>9</v>
      </c>
      <c r="C39" s="28" t="s">
        <v>2</v>
      </c>
      <c r="D39" s="28" t="s">
        <v>3</v>
      </c>
      <c r="E39" s="28" t="s">
        <v>7</v>
      </c>
      <c r="F39" s="28" t="s">
        <v>8</v>
      </c>
      <c r="G39" s="28" t="s">
        <v>5</v>
      </c>
      <c r="H39" s="28" t="s">
        <v>6</v>
      </c>
      <c r="I39" s="28" t="s">
        <v>10</v>
      </c>
      <c r="J39" s="21"/>
      <c r="K39" s="24"/>
      <c r="L39" s="21"/>
      <c r="M39" s="21"/>
      <c r="N39" s="21"/>
      <c r="O39" s="21"/>
      <c r="P39" s="21"/>
      <c r="Q39" s="21"/>
      <c r="R39" s="21"/>
      <c r="S39" s="21"/>
      <c r="T39" s="21"/>
    </row>
    <row r="40" spans="1:20" ht="14.4" x14ac:dyDescent="0.25">
      <c r="A40" s="29" t="s">
        <v>9</v>
      </c>
      <c r="B40" s="24" t="s">
        <v>12</v>
      </c>
      <c r="C40" s="24">
        <v>0.46631</v>
      </c>
      <c r="D40" s="24">
        <v>0.46376000000000001</v>
      </c>
      <c r="E40" s="24">
        <v>0.46439999999999998</v>
      </c>
      <c r="F40" s="24">
        <v>0.93796999999999997</v>
      </c>
      <c r="G40" s="24">
        <v>6.5199999999999998E-3</v>
      </c>
      <c r="H40" s="24">
        <v>0.88265000000000005</v>
      </c>
      <c r="I40" s="24">
        <f t="shared" ref="I40:I46" si="4">AVERAGE(B40:D40,G40:H40)</f>
        <v>0.45480999999999999</v>
      </c>
      <c r="J40" s="21" t="s">
        <v>13</v>
      </c>
      <c r="K40" s="24">
        <f>VARP(I40:I46)</f>
        <v>5.0585659747887729E-2</v>
      </c>
      <c r="L40" s="21"/>
      <c r="M40" s="21"/>
      <c r="N40" s="21"/>
      <c r="O40" s="21"/>
      <c r="P40" s="21"/>
      <c r="Q40" s="21"/>
      <c r="R40" s="21"/>
      <c r="S40" s="21"/>
      <c r="T40" s="21"/>
    </row>
    <row r="41" spans="1:20" ht="14.4" x14ac:dyDescent="0.25">
      <c r="A41" s="29" t="s">
        <v>2</v>
      </c>
      <c r="B41" s="24">
        <f>1-C40</f>
        <v>0.53369</v>
      </c>
      <c r="C41" s="24" t="s">
        <v>12</v>
      </c>
      <c r="D41" s="24">
        <v>0.99999000000000005</v>
      </c>
      <c r="E41" s="24">
        <v>6.4000000000000005E-4</v>
      </c>
      <c r="F41" s="24">
        <v>0.79749000000000003</v>
      </c>
      <c r="G41" s="24">
        <v>0.19225999999999999</v>
      </c>
      <c r="H41" s="24">
        <v>0</v>
      </c>
      <c r="I41" s="24">
        <f t="shared" si="4"/>
        <v>0.43148500000000001</v>
      </c>
      <c r="J41" s="21" t="s">
        <v>15</v>
      </c>
      <c r="K41" s="24">
        <f t="array" ref="K41">AVERAGE(IF(ISNUMBER(B40:H46), ABS(B40:H46-0.5), ""))</f>
        <v>0.33533428571428575</v>
      </c>
      <c r="L41" s="21"/>
      <c r="M41" s="21"/>
      <c r="N41" s="21"/>
      <c r="O41" s="21"/>
      <c r="P41" s="21"/>
      <c r="Q41" s="21"/>
      <c r="R41" s="21"/>
      <c r="S41" s="21"/>
      <c r="T41" s="21"/>
    </row>
    <row r="42" spans="1:20" ht="14.4" x14ac:dyDescent="0.25">
      <c r="A42" s="29" t="s">
        <v>3</v>
      </c>
      <c r="B42" s="24">
        <f>1-D40</f>
        <v>0.53624000000000005</v>
      </c>
      <c r="C42" s="24">
        <f>1-D41</f>
        <v>9.9999999999544897E-6</v>
      </c>
      <c r="D42" s="24" t="s">
        <v>12</v>
      </c>
      <c r="E42" s="24">
        <v>5.765E-2</v>
      </c>
      <c r="F42" s="24">
        <v>0.99997000000000003</v>
      </c>
      <c r="G42" s="24">
        <v>0</v>
      </c>
      <c r="H42" s="24">
        <v>0.49682999999999999</v>
      </c>
      <c r="I42" s="24">
        <f t="shared" si="4"/>
        <v>0.25827</v>
      </c>
      <c r="J42" s="21" t="s">
        <v>17</v>
      </c>
      <c r="K42" s="24">
        <f>MAX(I40:I46)-MIN(I40:I46)</f>
        <v>0.78156749999999997</v>
      </c>
      <c r="L42" s="21"/>
      <c r="M42" s="21"/>
      <c r="N42" s="21"/>
      <c r="O42" s="21"/>
      <c r="P42" s="21"/>
      <c r="Q42" s="21"/>
      <c r="R42" s="21"/>
      <c r="S42" s="21"/>
      <c r="T42" s="21"/>
    </row>
    <row r="43" spans="1:20" ht="14.4" x14ac:dyDescent="0.25">
      <c r="A43" s="29" t="s">
        <v>7</v>
      </c>
      <c r="B43" s="24">
        <f>1-E40</f>
        <v>0.53560000000000008</v>
      </c>
      <c r="C43" s="24">
        <f>1-E41</f>
        <v>0.99936000000000003</v>
      </c>
      <c r="D43" s="24">
        <f>1-E42</f>
        <v>0.94235000000000002</v>
      </c>
      <c r="E43" s="24" t="s">
        <v>12</v>
      </c>
      <c r="F43" s="24">
        <v>0.79713999999999996</v>
      </c>
      <c r="G43" s="24">
        <v>2.9099999999999998E-3</v>
      </c>
      <c r="H43" s="24">
        <v>0.23787</v>
      </c>
      <c r="I43" s="24">
        <f t="shared" si="4"/>
        <v>0.54361800000000005</v>
      </c>
      <c r="J43" s="21"/>
      <c r="K43" s="24"/>
      <c r="L43" s="21"/>
      <c r="M43" s="21"/>
      <c r="N43" s="21"/>
      <c r="O43" s="21"/>
      <c r="P43" s="21"/>
      <c r="Q43" s="21"/>
      <c r="R43" s="21"/>
      <c r="S43" s="21"/>
      <c r="T43" s="21"/>
    </row>
    <row r="44" spans="1:20" ht="14.4" x14ac:dyDescent="0.25">
      <c r="A44" s="29" t="s">
        <v>8</v>
      </c>
      <c r="B44" s="24">
        <f>1-F40</f>
        <v>6.203000000000003E-2</v>
      </c>
      <c r="C44" s="24">
        <f>1-F41</f>
        <v>0.20250999999999997</v>
      </c>
      <c r="D44" s="24">
        <f>1-F42</f>
        <v>2.9999999999974492E-5</v>
      </c>
      <c r="E44" s="24">
        <f>1-F43</f>
        <v>0.20286000000000004</v>
      </c>
      <c r="F44" s="24" t="s">
        <v>12</v>
      </c>
      <c r="G44" s="24">
        <v>0</v>
      </c>
      <c r="H44" s="24">
        <v>0.10373</v>
      </c>
      <c r="I44" s="24">
        <f t="shared" si="4"/>
        <v>7.3659999999999989E-2</v>
      </c>
      <c r="J44" s="21"/>
      <c r="K44" s="24"/>
      <c r="L44" s="21"/>
      <c r="M44" s="21"/>
      <c r="N44" s="21"/>
      <c r="O44" s="21"/>
      <c r="P44" s="21"/>
      <c r="Q44" s="21"/>
      <c r="R44" s="21"/>
      <c r="S44" s="21"/>
      <c r="T44" s="21"/>
    </row>
    <row r="45" spans="1:20" ht="14.4" x14ac:dyDescent="0.25">
      <c r="A45" s="29" t="s">
        <v>5</v>
      </c>
      <c r="B45" s="24">
        <f>1-G40</f>
        <v>0.99348000000000003</v>
      </c>
      <c r="C45" s="24">
        <f>1-G41</f>
        <v>0.80774000000000001</v>
      </c>
      <c r="D45" s="24">
        <f>1-G42</f>
        <v>1</v>
      </c>
      <c r="E45" s="24">
        <f>1-G43</f>
        <v>0.99709000000000003</v>
      </c>
      <c r="F45" s="24">
        <f>1-G44</f>
        <v>1</v>
      </c>
      <c r="G45" s="24" t="s">
        <v>12</v>
      </c>
      <c r="H45" s="24">
        <v>0.61968999999999996</v>
      </c>
      <c r="I45" s="24">
        <f t="shared" si="4"/>
        <v>0.85522749999999992</v>
      </c>
      <c r="J45" s="21"/>
      <c r="K45" s="24"/>
      <c r="L45" s="21"/>
      <c r="M45" s="21"/>
      <c r="N45" s="21"/>
      <c r="O45" s="21"/>
      <c r="P45" s="21"/>
      <c r="Q45" s="21"/>
      <c r="R45" s="21"/>
      <c r="S45" s="21"/>
      <c r="T45" s="21"/>
    </row>
    <row r="46" spans="1:20" x14ac:dyDescent="0.25">
      <c r="A46" s="6" t="s">
        <v>6</v>
      </c>
      <c r="B46" s="7">
        <f>1-H40</f>
        <v>0.11734999999999995</v>
      </c>
      <c r="C46" s="7">
        <f>1-H41</f>
        <v>1</v>
      </c>
      <c r="D46" s="7">
        <f>1-H42</f>
        <v>0.50317000000000001</v>
      </c>
      <c r="E46" s="7">
        <f>1-H43</f>
        <v>0.76212999999999997</v>
      </c>
      <c r="F46" s="7">
        <f>1-H44</f>
        <v>0.89627000000000001</v>
      </c>
      <c r="G46" s="7">
        <f>1-H45</f>
        <v>0.38031000000000004</v>
      </c>
      <c r="H46" s="7" t="s">
        <v>12</v>
      </c>
      <c r="I46" s="8">
        <f t="shared" si="4"/>
        <v>0.50020750000000003</v>
      </c>
      <c r="J46" s="3"/>
      <c r="K46" s="4"/>
    </row>
    <row r="47" spans="1:20" x14ac:dyDescent="0.25">
      <c r="H47" s="5"/>
      <c r="J47" s="3"/>
      <c r="K47" s="4"/>
    </row>
    <row r="48" spans="1:20" x14ac:dyDescent="0.25">
      <c r="J48" s="3"/>
      <c r="K48" s="4"/>
    </row>
    <row r="49" spans="8:11" x14ac:dyDescent="0.25">
      <c r="J49" s="3"/>
      <c r="K49" s="4"/>
    </row>
    <row r="50" spans="8:11" x14ac:dyDescent="0.25">
      <c r="J50" s="3"/>
      <c r="K50" s="4"/>
    </row>
    <row r="51" spans="8:11" x14ac:dyDescent="0.25">
      <c r="J51" s="3"/>
      <c r="K51" s="4"/>
    </row>
    <row r="52" spans="8:11" x14ac:dyDescent="0.25">
      <c r="J52" s="3"/>
      <c r="K52" s="4"/>
    </row>
    <row r="53" spans="8:11" x14ac:dyDescent="0.25">
      <c r="J53" s="3"/>
      <c r="K53" s="4"/>
    </row>
    <row r="54" spans="8:11" x14ac:dyDescent="0.25">
      <c r="J54" s="3"/>
      <c r="K54" s="4"/>
    </row>
    <row r="55" spans="8:11" x14ac:dyDescent="0.25">
      <c r="H55" s="5"/>
      <c r="J55" s="3"/>
      <c r="K55" s="4"/>
    </row>
    <row r="56" spans="8:11" x14ac:dyDescent="0.25">
      <c r="H56" s="5"/>
      <c r="J56" s="3"/>
      <c r="K56" s="4"/>
    </row>
    <row r="57" spans="8:11" x14ac:dyDescent="0.25">
      <c r="H57" s="5"/>
      <c r="J57" s="3"/>
      <c r="K57" s="4"/>
    </row>
    <row r="58" spans="8:11" x14ac:dyDescent="0.25">
      <c r="H58" s="5"/>
      <c r="J58" s="3"/>
      <c r="K58" s="4"/>
    </row>
    <row r="59" spans="8:11" x14ac:dyDescent="0.25">
      <c r="H59" s="5"/>
      <c r="J59" s="3"/>
      <c r="K59" s="4"/>
    </row>
    <row r="60" spans="8:11" x14ac:dyDescent="0.25">
      <c r="H60" s="5"/>
      <c r="J60" s="3"/>
      <c r="K60" s="4"/>
    </row>
    <row r="61" spans="8:11" x14ac:dyDescent="0.25">
      <c r="H61" s="5"/>
      <c r="J61" s="3"/>
      <c r="K61" s="4"/>
    </row>
    <row r="62" spans="8:11" x14ac:dyDescent="0.25">
      <c r="H62" s="5"/>
      <c r="J62" s="3"/>
      <c r="K62" s="4"/>
    </row>
    <row r="63" spans="8:11" x14ac:dyDescent="0.25">
      <c r="H63" s="5"/>
      <c r="J63" s="3"/>
      <c r="K63" s="4"/>
    </row>
    <row r="64" spans="8:11" x14ac:dyDescent="0.25">
      <c r="H64" s="5"/>
      <c r="J64" s="3"/>
      <c r="K64" s="4"/>
    </row>
    <row r="65" spans="8:11" x14ac:dyDescent="0.25">
      <c r="H65" s="5"/>
      <c r="J65" s="3"/>
      <c r="K65" s="4"/>
    </row>
    <row r="66" spans="8:11" x14ac:dyDescent="0.25">
      <c r="H66" s="5"/>
      <c r="J66" s="3"/>
      <c r="K66" s="4"/>
    </row>
    <row r="67" spans="8:11" x14ac:dyDescent="0.25">
      <c r="H67" s="5"/>
      <c r="J67" s="3"/>
      <c r="K67" s="4"/>
    </row>
    <row r="68" spans="8:11" x14ac:dyDescent="0.25">
      <c r="H68" s="5"/>
      <c r="J68" s="3"/>
      <c r="K68" s="4"/>
    </row>
    <row r="69" spans="8:11" x14ac:dyDescent="0.25">
      <c r="H69" s="5"/>
      <c r="J69" s="3"/>
      <c r="K69" s="4"/>
    </row>
    <row r="70" spans="8:11" x14ac:dyDescent="0.25">
      <c r="H70" s="5"/>
      <c r="J70" s="3"/>
      <c r="K70" s="4"/>
    </row>
    <row r="71" spans="8:11" x14ac:dyDescent="0.25">
      <c r="H71" s="5"/>
      <c r="J71" s="3"/>
      <c r="K71" s="4"/>
    </row>
    <row r="72" spans="8:11" x14ac:dyDescent="0.25">
      <c r="H72" s="5"/>
      <c r="J72" s="3"/>
      <c r="K72" s="4"/>
    </row>
    <row r="73" spans="8:11" x14ac:dyDescent="0.25">
      <c r="H73" s="5"/>
      <c r="J73" s="3"/>
      <c r="K73" s="4"/>
    </row>
    <row r="74" spans="8:11" x14ac:dyDescent="0.25">
      <c r="H74" s="5"/>
      <c r="J74" s="3"/>
      <c r="K74" s="4"/>
    </row>
    <row r="75" spans="8:11" x14ac:dyDescent="0.25">
      <c r="H75" s="5"/>
      <c r="J75" s="3"/>
      <c r="K75" s="4"/>
    </row>
    <row r="76" spans="8:11" x14ac:dyDescent="0.25">
      <c r="H76" s="5"/>
      <c r="J76" s="3"/>
      <c r="K76" s="4"/>
    </row>
    <row r="77" spans="8:11" x14ac:dyDescent="0.25">
      <c r="H77" s="5"/>
      <c r="J77" s="3"/>
      <c r="K77" s="4"/>
    </row>
    <row r="78" spans="8:11" x14ac:dyDescent="0.25">
      <c r="H78" s="5"/>
      <c r="J78" s="3"/>
      <c r="K78" s="4"/>
    </row>
    <row r="79" spans="8:11" x14ac:dyDescent="0.25">
      <c r="H79" s="5"/>
      <c r="J79" s="3"/>
      <c r="K79" s="4"/>
    </row>
    <row r="80" spans="8:11" x14ac:dyDescent="0.25">
      <c r="H80" s="5"/>
      <c r="J80" s="3"/>
      <c r="K80" s="4"/>
    </row>
    <row r="81" spans="8:11" x14ac:dyDescent="0.25">
      <c r="H81" s="5"/>
      <c r="J81" s="3"/>
      <c r="K81" s="4"/>
    </row>
    <row r="82" spans="8:11" x14ac:dyDescent="0.25">
      <c r="H82" s="5"/>
      <c r="J82" s="3"/>
      <c r="K82" s="4"/>
    </row>
    <row r="83" spans="8:11" x14ac:dyDescent="0.25">
      <c r="H83" s="5"/>
      <c r="J83" s="3"/>
      <c r="K83" s="4"/>
    </row>
    <row r="84" spans="8:11" x14ac:dyDescent="0.25">
      <c r="H84" s="5"/>
      <c r="J84" s="3"/>
      <c r="K84" s="4"/>
    </row>
    <row r="85" spans="8:11" x14ac:dyDescent="0.25">
      <c r="H85" s="5"/>
      <c r="J85" s="3"/>
      <c r="K85" s="4"/>
    </row>
    <row r="86" spans="8:11" x14ac:dyDescent="0.25">
      <c r="H86" s="5"/>
      <c r="J86" s="3"/>
      <c r="K86" s="4"/>
    </row>
    <row r="87" spans="8:11" x14ac:dyDescent="0.25">
      <c r="H87" s="5"/>
      <c r="J87" s="3"/>
      <c r="K87" s="4"/>
    </row>
    <row r="88" spans="8:11" x14ac:dyDescent="0.25">
      <c r="H88" s="5"/>
      <c r="J88" s="3"/>
      <c r="K88" s="4"/>
    </row>
    <row r="89" spans="8:11" x14ac:dyDescent="0.25">
      <c r="H89" s="5"/>
      <c r="J89" s="3"/>
      <c r="K89" s="4"/>
    </row>
    <row r="90" spans="8:11" x14ac:dyDescent="0.25">
      <c r="H90" s="5"/>
      <c r="J90" s="3"/>
      <c r="K90" s="4"/>
    </row>
    <row r="91" spans="8:11" x14ac:dyDescent="0.25">
      <c r="H91" s="5"/>
      <c r="J91" s="3"/>
      <c r="K91" s="4"/>
    </row>
    <row r="92" spans="8:11" x14ac:dyDescent="0.25">
      <c r="H92" s="5"/>
      <c r="J92" s="3"/>
      <c r="K92" s="4"/>
    </row>
    <row r="93" spans="8:11" x14ac:dyDescent="0.25">
      <c r="H93" s="5"/>
      <c r="J93" s="3"/>
      <c r="K93" s="4"/>
    </row>
    <row r="94" spans="8:11" x14ac:dyDescent="0.25">
      <c r="H94" s="5"/>
      <c r="J94" s="3"/>
      <c r="K94" s="4"/>
    </row>
    <row r="95" spans="8:11" x14ac:dyDescent="0.25">
      <c r="H95" s="5"/>
      <c r="J95" s="3"/>
      <c r="K95" s="4"/>
    </row>
    <row r="96" spans="8:11" x14ac:dyDescent="0.25">
      <c r="H96" s="5"/>
      <c r="J96" s="3"/>
      <c r="K96" s="4"/>
    </row>
    <row r="97" spans="8:11" x14ac:dyDescent="0.25">
      <c r="H97" s="5"/>
      <c r="J97" s="3"/>
      <c r="K97" s="4"/>
    </row>
    <row r="98" spans="8:11" x14ac:dyDescent="0.25">
      <c r="H98" s="5"/>
      <c r="J98" s="3"/>
      <c r="K98" s="4"/>
    </row>
    <row r="99" spans="8:11" x14ac:dyDescent="0.25">
      <c r="H99" s="5"/>
      <c r="J99" s="3"/>
      <c r="K99" s="4"/>
    </row>
    <row r="100" spans="8:11" x14ac:dyDescent="0.25">
      <c r="H100" s="5"/>
      <c r="J100" s="3"/>
      <c r="K100" s="4"/>
    </row>
    <row r="101" spans="8:11" x14ac:dyDescent="0.25">
      <c r="H101" s="5"/>
      <c r="J101" s="3"/>
      <c r="K101" s="4"/>
    </row>
    <row r="102" spans="8:11" x14ac:dyDescent="0.25">
      <c r="H102" s="5"/>
      <c r="J102" s="3"/>
      <c r="K102" s="4"/>
    </row>
    <row r="103" spans="8:11" x14ac:dyDescent="0.25">
      <c r="H103" s="5"/>
      <c r="J103" s="3"/>
      <c r="K103" s="4"/>
    </row>
    <row r="104" spans="8:11" x14ac:dyDescent="0.25">
      <c r="H104" s="5"/>
      <c r="J104" s="3"/>
      <c r="K104" s="4"/>
    </row>
    <row r="105" spans="8:11" x14ac:dyDescent="0.25">
      <c r="H105" s="5"/>
      <c r="J105" s="3"/>
      <c r="K105" s="4"/>
    </row>
    <row r="106" spans="8:11" x14ac:dyDescent="0.25">
      <c r="H106" s="5"/>
      <c r="J106" s="3"/>
      <c r="K106" s="4"/>
    </row>
    <row r="107" spans="8:11" x14ac:dyDescent="0.25">
      <c r="H107" s="5"/>
      <c r="J107" s="3"/>
      <c r="K107" s="4"/>
    </row>
    <row r="108" spans="8:11" x14ac:dyDescent="0.25">
      <c r="H108" s="5"/>
      <c r="J108" s="3"/>
      <c r="K108" s="4"/>
    </row>
    <row r="109" spans="8:11" x14ac:dyDescent="0.25">
      <c r="H109" s="5"/>
      <c r="J109" s="3"/>
      <c r="K109" s="4"/>
    </row>
    <row r="110" spans="8:11" x14ac:dyDescent="0.25">
      <c r="H110" s="5"/>
      <c r="J110" s="3"/>
      <c r="K110" s="4"/>
    </row>
    <row r="111" spans="8:11" x14ac:dyDescent="0.25">
      <c r="H111" s="5"/>
      <c r="J111" s="3"/>
      <c r="K111" s="4"/>
    </row>
    <row r="112" spans="8:11" x14ac:dyDescent="0.25">
      <c r="H112" s="5"/>
      <c r="J112" s="3"/>
      <c r="K112" s="4"/>
    </row>
    <row r="113" spans="8:11" x14ac:dyDescent="0.25">
      <c r="H113" s="5"/>
      <c r="J113" s="3"/>
      <c r="K113" s="4"/>
    </row>
    <row r="114" spans="8:11" x14ac:dyDescent="0.25">
      <c r="H114" s="5"/>
      <c r="J114" s="3"/>
      <c r="K114" s="4"/>
    </row>
    <row r="115" spans="8:11" x14ac:dyDescent="0.25">
      <c r="H115" s="5"/>
      <c r="J115" s="3"/>
      <c r="K115" s="4"/>
    </row>
    <row r="116" spans="8:11" x14ac:dyDescent="0.25">
      <c r="H116" s="5"/>
      <c r="J116" s="3"/>
      <c r="K116" s="4"/>
    </row>
    <row r="117" spans="8:11" x14ac:dyDescent="0.25">
      <c r="H117" s="5"/>
      <c r="J117" s="3"/>
      <c r="K117" s="4"/>
    </row>
    <row r="118" spans="8:11" x14ac:dyDescent="0.25">
      <c r="H118" s="5"/>
      <c r="J118" s="3"/>
      <c r="K118" s="4"/>
    </row>
    <row r="119" spans="8:11" x14ac:dyDescent="0.25">
      <c r="H119" s="5"/>
      <c r="J119" s="3"/>
      <c r="K119" s="4"/>
    </row>
    <row r="120" spans="8:11" x14ac:dyDescent="0.25">
      <c r="H120" s="5"/>
      <c r="J120" s="3"/>
      <c r="K120" s="4"/>
    </row>
    <row r="121" spans="8:11" x14ac:dyDescent="0.25">
      <c r="H121" s="5"/>
      <c r="J121" s="3"/>
      <c r="K121" s="4"/>
    </row>
    <row r="122" spans="8:11" x14ac:dyDescent="0.25">
      <c r="H122" s="5"/>
      <c r="J122" s="3"/>
      <c r="K122" s="4"/>
    </row>
    <row r="123" spans="8:11" x14ac:dyDescent="0.25">
      <c r="H123" s="5"/>
      <c r="J123" s="3"/>
      <c r="K123" s="4"/>
    </row>
    <row r="124" spans="8:11" x14ac:dyDescent="0.25">
      <c r="H124" s="5"/>
      <c r="J124" s="3"/>
      <c r="K124" s="4"/>
    </row>
    <row r="125" spans="8:11" x14ac:dyDescent="0.25">
      <c r="H125" s="5"/>
      <c r="J125" s="3"/>
      <c r="K125" s="4"/>
    </row>
    <row r="126" spans="8:11" x14ac:dyDescent="0.25">
      <c r="H126" s="5"/>
      <c r="J126" s="3"/>
      <c r="K126" s="4"/>
    </row>
    <row r="127" spans="8:11" x14ac:dyDescent="0.25">
      <c r="H127" s="5"/>
      <c r="J127" s="3"/>
      <c r="K127" s="4"/>
    </row>
    <row r="128" spans="8:11" x14ac:dyDescent="0.25">
      <c r="H128" s="5"/>
      <c r="J128" s="3"/>
      <c r="K128" s="4"/>
    </row>
    <row r="129" spans="8:11" x14ac:dyDescent="0.25">
      <c r="H129" s="5"/>
      <c r="J129" s="3"/>
      <c r="K129" s="4"/>
    </row>
    <row r="130" spans="8:11" x14ac:dyDescent="0.25">
      <c r="H130" s="5"/>
      <c r="J130" s="3"/>
      <c r="K130" s="4"/>
    </row>
    <row r="131" spans="8:11" x14ac:dyDescent="0.25">
      <c r="H131" s="5"/>
      <c r="J131" s="3"/>
      <c r="K131" s="4"/>
    </row>
    <row r="132" spans="8:11" x14ac:dyDescent="0.25">
      <c r="H132" s="5"/>
      <c r="J132" s="3"/>
      <c r="K132" s="4"/>
    </row>
    <row r="133" spans="8:11" x14ac:dyDescent="0.25">
      <c r="H133" s="5"/>
      <c r="J133" s="3"/>
      <c r="K133" s="4"/>
    </row>
    <row r="134" spans="8:11" x14ac:dyDescent="0.25">
      <c r="H134" s="5"/>
      <c r="J134" s="3"/>
      <c r="K134" s="4"/>
    </row>
    <row r="135" spans="8:11" x14ac:dyDescent="0.25">
      <c r="H135" s="5"/>
      <c r="J135" s="3"/>
      <c r="K135" s="4"/>
    </row>
    <row r="136" spans="8:11" x14ac:dyDescent="0.25">
      <c r="H136" s="5"/>
      <c r="J136" s="3"/>
      <c r="K136" s="4"/>
    </row>
    <row r="137" spans="8:11" x14ac:dyDescent="0.25">
      <c r="H137" s="5"/>
      <c r="J137" s="3"/>
      <c r="K137" s="4"/>
    </row>
    <row r="138" spans="8:11" x14ac:dyDescent="0.25">
      <c r="H138" s="5"/>
      <c r="J138" s="3"/>
      <c r="K138" s="4"/>
    </row>
    <row r="139" spans="8:11" x14ac:dyDescent="0.25">
      <c r="H139" s="5"/>
      <c r="J139" s="3"/>
      <c r="K139" s="4"/>
    </row>
    <row r="140" spans="8:11" x14ac:dyDescent="0.25">
      <c r="H140" s="5"/>
      <c r="J140" s="3"/>
      <c r="K140" s="4"/>
    </row>
    <row r="141" spans="8:11" x14ac:dyDescent="0.25">
      <c r="H141" s="5"/>
      <c r="J141" s="3"/>
      <c r="K141" s="4"/>
    </row>
    <row r="142" spans="8:11" x14ac:dyDescent="0.25">
      <c r="H142" s="5"/>
      <c r="J142" s="3"/>
      <c r="K142" s="4"/>
    </row>
    <row r="143" spans="8:11" x14ac:dyDescent="0.25">
      <c r="H143" s="5"/>
      <c r="J143" s="3"/>
      <c r="K143" s="4"/>
    </row>
    <row r="144" spans="8:11" x14ac:dyDescent="0.25">
      <c r="H144" s="5"/>
      <c r="J144" s="3"/>
      <c r="K144" s="4"/>
    </row>
    <row r="145" spans="8:11" x14ac:dyDescent="0.25">
      <c r="H145" s="5"/>
      <c r="J145" s="3"/>
      <c r="K145" s="4"/>
    </row>
    <row r="146" spans="8:11" x14ac:dyDescent="0.25">
      <c r="H146" s="5"/>
      <c r="J146" s="3"/>
      <c r="K146" s="4"/>
    </row>
    <row r="147" spans="8:11" x14ac:dyDescent="0.25">
      <c r="H147" s="5"/>
      <c r="J147" s="3"/>
      <c r="K147" s="4"/>
    </row>
    <row r="148" spans="8:11" x14ac:dyDescent="0.25">
      <c r="H148" s="5"/>
      <c r="J148" s="3"/>
      <c r="K148" s="4"/>
    </row>
    <row r="149" spans="8:11" x14ac:dyDescent="0.25">
      <c r="H149" s="5"/>
      <c r="J149" s="3"/>
      <c r="K149" s="4"/>
    </row>
    <row r="150" spans="8:11" x14ac:dyDescent="0.25">
      <c r="H150" s="5"/>
      <c r="J150" s="3"/>
      <c r="K150" s="4"/>
    </row>
    <row r="151" spans="8:11" x14ac:dyDescent="0.25">
      <c r="H151" s="5"/>
      <c r="J151" s="3"/>
      <c r="K151" s="4"/>
    </row>
    <row r="152" spans="8:11" x14ac:dyDescent="0.25">
      <c r="H152" s="5"/>
      <c r="J152" s="3"/>
      <c r="K152" s="4"/>
    </row>
    <row r="153" spans="8:11" x14ac:dyDescent="0.25">
      <c r="H153" s="5"/>
      <c r="J153" s="3"/>
      <c r="K153" s="4"/>
    </row>
    <row r="154" spans="8:11" x14ac:dyDescent="0.25">
      <c r="H154" s="5"/>
      <c r="J154" s="3"/>
      <c r="K154" s="4"/>
    </row>
    <row r="155" spans="8:11" x14ac:dyDescent="0.25">
      <c r="H155" s="5"/>
      <c r="J155" s="3"/>
      <c r="K155" s="4"/>
    </row>
    <row r="156" spans="8:11" x14ac:dyDescent="0.25">
      <c r="H156" s="5"/>
      <c r="J156" s="3"/>
      <c r="K156" s="4"/>
    </row>
    <row r="157" spans="8:11" x14ac:dyDescent="0.25">
      <c r="H157" s="5"/>
      <c r="J157" s="3"/>
      <c r="K157" s="4"/>
    </row>
    <row r="158" spans="8:11" x14ac:dyDescent="0.25">
      <c r="H158" s="5"/>
      <c r="J158" s="3"/>
      <c r="K158" s="4"/>
    </row>
    <row r="159" spans="8:11" x14ac:dyDescent="0.25">
      <c r="H159" s="5"/>
      <c r="J159" s="3"/>
      <c r="K159" s="4"/>
    </row>
    <row r="160" spans="8:11" x14ac:dyDescent="0.25">
      <c r="H160" s="5"/>
      <c r="J160" s="3"/>
      <c r="K160" s="4"/>
    </row>
    <row r="161" spans="8:11" x14ac:dyDescent="0.25">
      <c r="H161" s="5"/>
      <c r="J161" s="3"/>
      <c r="K161" s="4"/>
    </row>
    <row r="162" spans="8:11" x14ac:dyDescent="0.25">
      <c r="H162" s="5"/>
      <c r="J162" s="3"/>
      <c r="K162" s="4"/>
    </row>
    <row r="163" spans="8:11" x14ac:dyDescent="0.25">
      <c r="H163" s="5"/>
      <c r="J163" s="3"/>
      <c r="K163" s="4"/>
    </row>
    <row r="164" spans="8:11" x14ac:dyDescent="0.25">
      <c r="H164" s="5"/>
      <c r="J164" s="3"/>
      <c r="K164" s="4"/>
    </row>
    <row r="165" spans="8:11" x14ac:dyDescent="0.25">
      <c r="H165" s="5"/>
      <c r="J165" s="3"/>
      <c r="K165" s="4"/>
    </row>
    <row r="166" spans="8:11" x14ac:dyDescent="0.25">
      <c r="H166" s="5"/>
      <c r="J166" s="3"/>
      <c r="K166" s="4"/>
    </row>
    <row r="167" spans="8:11" x14ac:dyDescent="0.25">
      <c r="H167" s="5"/>
      <c r="J167" s="3"/>
      <c r="K167" s="4"/>
    </row>
    <row r="168" spans="8:11" x14ac:dyDescent="0.25">
      <c r="H168" s="5"/>
      <c r="J168" s="3"/>
      <c r="K168" s="4"/>
    </row>
    <row r="169" spans="8:11" x14ac:dyDescent="0.25">
      <c r="H169" s="5"/>
      <c r="J169" s="3"/>
      <c r="K169" s="4"/>
    </row>
    <row r="170" spans="8:11" x14ac:dyDescent="0.25">
      <c r="H170" s="5"/>
      <c r="J170" s="3"/>
      <c r="K170" s="4"/>
    </row>
    <row r="171" spans="8:11" x14ac:dyDescent="0.25">
      <c r="H171" s="5"/>
      <c r="J171" s="3"/>
      <c r="K171" s="4"/>
    </row>
    <row r="172" spans="8:11" x14ac:dyDescent="0.25">
      <c r="H172" s="5"/>
      <c r="J172" s="3"/>
      <c r="K172" s="4"/>
    </row>
    <row r="173" spans="8:11" x14ac:dyDescent="0.25">
      <c r="H173" s="5"/>
      <c r="J173" s="3"/>
      <c r="K173" s="4"/>
    </row>
    <row r="174" spans="8:11" x14ac:dyDescent="0.25">
      <c r="H174" s="5"/>
      <c r="J174" s="3"/>
      <c r="K174" s="4"/>
    </row>
    <row r="175" spans="8:11" x14ac:dyDescent="0.25">
      <c r="H175" s="5"/>
      <c r="J175" s="3"/>
      <c r="K175" s="4"/>
    </row>
    <row r="176" spans="8:11" x14ac:dyDescent="0.25">
      <c r="H176" s="5"/>
      <c r="J176" s="3"/>
      <c r="K176" s="4"/>
    </row>
    <row r="177" spans="8:11" x14ac:dyDescent="0.25">
      <c r="H177" s="5"/>
      <c r="J177" s="3"/>
      <c r="K177" s="4"/>
    </row>
    <row r="178" spans="8:11" x14ac:dyDescent="0.25">
      <c r="H178" s="5"/>
      <c r="J178" s="3"/>
      <c r="K178" s="4"/>
    </row>
    <row r="179" spans="8:11" x14ac:dyDescent="0.25">
      <c r="H179" s="5"/>
      <c r="J179" s="3"/>
      <c r="K179" s="4"/>
    </row>
    <row r="180" spans="8:11" x14ac:dyDescent="0.25">
      <c r="H180" s="5"/>
      <c r="J180" s="3"/>
      <c r="K180" s="4"/>
    </row>
    <row r="181" spans="8:11" x14ac:dyDescent="0.25">
      <c r="H181" s="5"/>
      <c r="J181" s="3"/>
      <c r="K181" s="4"/>
    </row>
    <row r="182" spans="8:11" x14ac:dyDescent="0.25">
      <c r="H182" s="5"/>
      <c r="J182" s="3"/>
      <c r="K182" s="4"/>
    </row>
    <row r="183" spans="8:11" x14ac:dyDescent="0.25">
      <c r="H183" s="5"/>
      <c r="J183" s="3"/>
      <c r="K183" s="4"/>
    </row>
    <row r="184" spans="8:11" x14ac:dyDescent="0.25">
      <c r="H184" s="5"/>
      <c r="J184" s="3"/>
      <c r="K184" s="4"/>
    </row>
    <row r="185" spans="8:11" x14ac:dyDescent="0.25">
      <c r="H185" s="5"/>
      <c r="J185" s="3"/>
      <c r="K185" s="4"/>
    </row>
    <row r="186" spans="8:11" x14ac:dyDescent="0.25">
      <c r="H186" s="5"/>
      <c r="J186" s="3"/>
      <c r="K186" s="4"/>
    </row>
    <row r="187" spans="8:11" x14ac:dyDescent="0.25">
      <c r="H187" s="5"/>
      <c r="J187" s="3"/>
      <c r="K187" s="4"/>
    </row>
    <row r="188" spans="8:11" x14ac:dyDescent="0.25">
      <c r="H188" s="5"/>
      <c r="J188" s="3"/>
      <c r="K188" s="4"/>
    </row>
    <row r="189" spans="8:11" x14ac:dyDescent="0.25">
      <c r="H189" s="5"/>
      <c r="J189" s="3"/>
      <c r="K189" s="4"/>
    </row>
    <row r="190" spans="8:11" x14ac:dyDescent="0.25">
      <c r="H190" s="5"/>
      <c r="J190" s="3"/>
      <c r="K190" s="4"/>
    </row>
    <row r="191" spans="8:11" x14ac:dyDescent="0.25">
      <c r="H191" s="5"/>
      <c r="J191" s="3"/>
      <c r="K191" s="4"/>
    </row>
    <row r="192" spans="8:11" x14ac:dyDescent="0.25">
      <c r="H192" s="5"/>
      <c r="J192" s="3"/>
      <c r="K192" s="4"/>
    </row>
    <row r="193" spans="8:11" x14ac:dyDescent="0.25">
      <c r="H193" s="5"/>
      <c r="J193" s="3"/>
      <c r="K193" s="4"/>
    </row>
    <row r="194" spans="8:11" x14ac:dyDescent="0.25">
      <c r="H194" s="5"/>
      <c r="J194" s="3"/>
      <c r="K194" s="4"/>
    </row>
    <row r="195" spans="8:11" x14ac:dyDescent="0.25">
      <c r="H195" s="5"/>
      <c r="J195" s="3"/>
      <c r="K195" s="4"/>
    </row>
    <row r="196" spans="8:11" x14ac:dyDescent="0.25">
      <c r="H196" s="5"/>
      <c r="J196" s="3"/>
      <c r="K196" s="4"/>
    </row>
    <row r="197" spans="8:11" x14ac:dyDescent="0.25">
      <c r="H197" s="5"/>
      <c r="J197" s="3"/>
      <c r="K197" s="4"/>
    </row>
    <row r="198" spans="8:11" x14ac:dyDescent="0.25">
      <c r="H198" s="5"/>
      <c r="J198" s="3"/>
      <c r="K198" s="4"/>
    </row>
    <row r="199" spans="8:11" x14ac:dyDescent="0.25">
      <c r="H199" s="5"/>
      <c r="J199" s="3"/>
      <c r="K199" s="4"/>
    </row>
    <row r="200" spans="8:11" x14ac:dyDescent="0.25">
      <c r="H200" s="5"/>
      <c r="J200" s="3"/>
      <c r="K200" s="4"/>
    </row>
    <row r="201" spans="8:11" x14ac:dyDescent="0.25">
      <c r="H201" s="5"/>
      <c r="J201" s="3"/>
      <c r="K201" s="4"/>
    </row>
    <row r="202" spans="8:11" x14ac:dyDescent="0.25">
      <c r="H202" s="5"/>
      <c r="J202" s="3"/>
      <c r="K202" s="4"/>
    </row>
    <row r="203" spans="8:11" x14ac:dyDescent="0.25">
      <c r="H203" s="5"/>
      <c r="J203" s="3"/>
      <c r="K203" s="4"/>
    </row>
    <row r="204" spans="8:11" x14ac:dyDescent="0.25">
      <c r="H204" s="5"/>
      <c r="J204" s="3"/>
      <c r="K204" s="4"/>
    </row>
    <row r="205" spans="8:11" x14ac:dyDescent="0.25">
      <c r="H205" s="5"/>
      <c r="J205" s="3"/>
      <c r="K205" s="4"/>
    </row>
    <row r="206" spans="8:11" x14ac:dyDescent="0.25">
      <c r="H206" s="5"/>
      <c r="J206" s="3"/>
      <c r="K206" s="4"/>
    </row>
    <row r="207" spans="8:11" x14ac:dyDescent="0.25">
      <c r="H207" s="5"/>
      <c r="J207" s="3"/>
      <c r="K207" s="4"/>
    </row>
    <row r="208" spans="8:11" x14ac:dyDescent="0.25">
      <c r="H208" s="5"/>
      <c r="J208" s="3"/>
      <c r="K208" s="4"/>
    </row>
    <row r="209" spans="8:11" x14ac:dyDescent="0.25">
      <c r="H209" s="5"/>
      <c r="J209" s="3"/>
      <c r="K209" s="4"/>
    </row>
    <row r="210" spans="8:11" x14ac:dyDescent="0.25">
      <c r="H210" s="5"/>
      <c r="J210" s="3"/>
      <c r="K210" s="4"/>
    </row>
    <row r="211" spans="8:11" x14ac:dyDescent="0.25">
      <c r="H211" s="5"/>
      <c r="J211" s="3"/>
      <c r="K211" s="4"/>
    </row>
    <row r="212" spans="8:11" x14ac:dyDescent="0.25">
      <c r="H212" s="5"/>
      <c r="J212" s="3"/>
      <c r="K212" s="4"/>
    </row>
    <row r="213" spans="8:11" x14ac:dyDescent="0.25">
      <c r="H213" s="5"/>
      <c r="J213" s="3"/>
      <c r="K213" s="4"/>
    </row>
    <row r="214" spans="8:11" x14ac:dyDescent="0.25">
      <c r="H214" s="5"/>
      <c r="J214" s="3"/>
      <c r="K214" s="4"/>
    </row>
    <row r="215" spans="8:11" x14ac:dyDescent="0.25">
      <c r="H215" s="5"/>
      <c r="J215" s="3"/>
      <c r="K215" s="4"/>
    </row>
    <row r="216" spans="8:11" x14ac:dyDescent="0.25">
      <c r="H216" s="5"/>
      <c r="J216" s="3"/>
      <c r="K216" s="4"/>
    </row>
    <row r="217" spans="8:11" x14ac:dyDescent="0.25">
      <c r="H217" s="5"/>
      <c r="J217" s="3"/>
      <c r="K217" s="4"/>
    </row>
    <row r="218" spans="8:11" x14ac:dyDescent="0.25">
      <c r="H218" s="5"/>
      <c r="J218" s="3"/>
      <c r="K218" s="4"/>
    </row>
    <row r="219" spans="8:11" x14ac:dyDescent="0.25">
      <c r="H219" s="5"/>
      <c r="J219" s="3"/>
      <c r="K219" s="4"/>
    </row>
    <row r="220" spans="8:11" x14ac:dyDescent="0.25">
      <c r="H220" s="5"/>
      <c r="J220" s="3"/>
      <c r="K220" s="4"/>
    </row>
    <row r="221" spans="8:11" x14ac:dyDescent="0.25">
      <c r="H221" s="5"/>
      <c r="J221" s="3"/>
      <c r="K221" s="4"/>
    </row>
    <row r="222" spans="8:11" x14ac:dyDescent="0.25">
      <c r="H222" s="5"/>
      <c r="J222" s="3"/>
      <c r="K222" s="4"/>
    </row>
    <row r="223" spans="8:11" x14ac:dyDescent="0.25">
      <c r="H223" s="5"/>
      <c r="J223" s="3"/>
      <c r="K223" s="4"/>
    </row>
    <row r="224" spans="8:11" x14ac:dyDescent="0.25">
      <c r="H224" s="5"/>
      <c r="J224" s="3"/>
      <c r="K224" s="4"/>
    </row>
    <row r="225" spans="8:11" x14ac:dyDescent="0.25">
      <c r="H225" s="5"/>
      <c r="J225" s="3"/>
      <c r="K225" s="4"/>
    </row>
    <row r="226" spans="8:11" x14ac:dyDescent="0.25">
      <c r="H226" s="5"/>
      <c r="J226" s="3"/>
      <c r="K226" s="4"/>
    </row>
    <row r="227" spans="8:11" x14ac:dyDescent="0.25">
      <c r="H227" s="5"/>
      <c r="J227" s="3"/>
      <c r="K227" s="4"/>
    </row>
    <row r="228" spans="8:11" x14ac:dyDescent="0.25">
      <c r="H228" s="5"/>
      <c r="J228" s="3"/>
      <c r="K228" s="4"/>
    </row>
    <row r="229" spans="8:11" x14ac:dyDescent="0.25">
      <c r="H229" s="5"/>
      <c r="J229" s="3"/>
      <c r="K229" s="4"/>
    </row>
    <row r="230" spans="8:11" x14ac:dyDescent="0.25">
      <c r="H230" s="5"/>
      <c r="J230" s="3"/>
      <c r="K230" s="4"/>
    </row>
    <row r="231" spans="8:11" x14ac:dyDescent="0.25">
      <c r="H231" s="5"/>
      <c r="J231" s="3"/>
      <c r="K231" s="4"/>
    </row>
    <row r="232" spans="8:11" x14ac:dyDescent="0.25">
      <c r="H232" s="5"/>
      <c r="J232" s="3"/>
      <c r="K232" s="4"/>
    </row>
    <row r="233" spans="8:11" x14ac:dyDescent="0.25">
      <c r="H233" s="5"/>
      <c r="J233" s="3"/>
      <c r="K233" s="4"/>
    </row>
    <row r="234" spans="8:11" x14ac:dyDescent="0.25">
      <c r="H234" s="5"/>
      <c r="J234" s="3"/>
      <c r="K234" s="4"/>
    </row>
    <row r="235" spans="8:11" x14ac:dyDescent="0.25">
      <c r="H235" s="5"/>
      <c r="J235" s="3"/>
      <c r="K235" s="4"/>
    </row>
    <row r="236" spans="8:11" x14ac:dyDescent="0.25">
      <c r="H236" s="5"/>
      <c r="J236" s="3"/>
      <c r="K236" s="4"/>
    </row>
    <row r="237" spans="8:11" x14ac:dyDescent="0.25">
      <c r="H237" s="5"/>
      <c r="J237" s="3"/>
      <c r="K237" s="4"/>
    </row>
    <row r="238" spans="8:11" x14ac:dyDescent="0.25">
      <c r="H238" s="5"/>
      <c r="J238" s="3"/>
      <c r="K238" s="4"/>
    </row>
    <row r="239" spans="8:11" x14ac:dyDescent="0.25">
      <c r="H239" s="5"/>
      <c r="J239" s="3"/>
      <c r="K239" s="4"/>
    </row>
    <row r="240" spans="8:11" x14ac:dyDescent="0.25">
      <c r="H240" s="5"/>
      <c r="J240" s="3"/>
      <c r="K240" s="4"/>
    </row>
    <row r="241" spans="8:11" x14ac:dyDescent="0.25">
      <c r="H241" s="5"/>
      <c r="J241" s="3"/>
      <c r="K241" s="4"/>
    </row>
    <row r="242" spans="8:11" x14ac:dyDescent="0.25">
      <c r="H242" s="5"/>
      <c r="J242" s="3"/>
      <c r="K242" s="4"/>
    </row>
    <row r="243" spans="8:11" x14ac:dyDescent="0.25">
      <c r="H243" s="5"/>
      <c r="J243" s="3"/>
      <c r="K243" s="4"/>
    </row>
    <row r="244" spans="8:11" x14ac:dyDescent="0.25">
      <c r="H244" s="5"/>
      <c r="J244" s="3"/>
      <c r="K244" s="4"/>
    </row>
    <row r="245" spans="8:11" x14ac:dyDescent="0.25">
      <c r="H245" s="5"/>
      <c r="J245" s="3"/>
      <c r="K245" s="4"/>
    </row>
    <row r="246" spans="8:11" x14ac:dyDescent="0.25">
      <c r="H246" s="5"/>
      <c r="J246" s="3"/>
      <c r="K246" s="4"/>
    </row>
    <row r="247" spans="8:11" x14ac:dyDescent="0.25">
      <c r="H247" s="5"/>
      <c r="J247" s="3"/>
      <c r="K247" s="4"/>
    </row>
    <row r="248" spans="8:11" x14ac:dyDescent="0.25">
      <c r="H248" s="5"/>
      <c r="J248" s="3"/>
      <c r="K248" s="4"/>
    </row>
    <row r="249" spans="8:11" x14ac:dyDescent="0.25">
      <c r="H249" s="5"/>
      <c r="J249" s="3"/>
      <c r="K249" s="4"/>
    </row>
    <row r="250" spans="8:11" x14ac:dyDescent="0.25">
      <c r="H250" s="5"/>
      <c r="J250" s="3"/>
      <c r="K250" s="4"/>
    </row>
    <row r="251" spans="8:11" x14ac:dyDescent="0.25">
      <c r="H251" s="5"/>
      <c r="J251" s="3"/>
      <c r="K251" s="4"/>
    </row>
    <row r="252" spans="8:11" x14ac:dyDescent="0.25">
      <c r="H252" s="5"/>
      <c r="J252" s="3"/>
      <c r="K252" s="4"/>
    </row>
    <row r="253" spans="8:11" x14ac:dyDescent="0.25">
      <c r="H253" s="5"/>
      <c r="J253" s="3"/>
      <c r="K253" s="4"/>
    </row>
    <row r="254" spans="8:11" x14ac:dyDescent="0.25">
      <c r="H254" s="5"/>
      <c r="J254" s="3"/>
      <c r="K254" s="4"/>
    </row>
    <row r="255" spans="8:11" x14ac:dyDescent="0.25">
      <c r="H255" s="5"/>
      <c r="J255" s="3"/>
      <c r="K255" s="4"/>
    </row>
    <row r="256" spans="8:11" x14ac:dyDescent="0.25">
      <c r="H256" s="5"/>
      <c r="J256" s="3"/>
      <c r="K256" s="4"/>
    </row>
    <row r="257" spans="8:11" x14ac:dyDescent="0.25">
      <c r="H257" s="5"/>
      <c r="J257" s="3"/>
      <c r="K257" s="4"/>
    </row>
    <row r="258" spans="8:11" x14ac:dyDescent="0.25">
      <c r="H258" s="5"/>
      <c r="J258" s="3"/>
      <c r="K258" s="4"/>
    </row>
    <row r="259" spans="8:11" x14ac:dyDescent="0.25">
      <c r="H259" s="5"/>
      <c r="J259" s="3"/>
      <c r="K259" s="4"/>
    </row>
    <row r="260" spans="8:11" x14ac:dyDescent="0.25">
      <c r="H260" s="5"/>
      <c r="J260" s="3"/>
      <c r="K260" s="4"/>
    </row>
    <row r="261" spans="8:11" x14ac:dyDescent="0.25">
      <c r="H261" s="5"/>
      <c r="J261" s="3"/>
      <c r="K261" s="4"/>
    </row>
    <row r="262" spans="8:11" x14ac:dyDescent="0.25">
      <c r="H262" s="5"/>
      <c r="J262" s="3"/>
      <c r="K262" s="4"/>
    </row>
    <row r="263" spans="8:11" x14ac:dyDescent="0.25">
      <c r="H263" s="5"/>
      <c r="J263" s="3"/>
      <c r="K263" s="4"/>
    </row>
    <row r="264" spans="8:11" x14ac:dyDescent="0.25">
      <c r="H264" s="5"/>
      <c r="J264" s="3"/>
      <c r="K264" s="4"/>
    </row>
    <row r="265" spans="8:11" x14ac:dyDescent="0.25">
      <c r="H265" s="5"/>
      <c r="J265" s="3"/>
      <c r="K265" s="4"/>
    </row>
    <row r="266" spans="8:11" x14ac:dyDescent="0.25">
      <c r="H266" s="5"/>
      <c r="J266" s="3"/>
      <c r="K266" s="4"/>
    </row>
    <row r="267" spans="8:11" x14ac:dyDescent="0.25">
      <c r="H267" s="5"/>
      <c r="J267" s="3"/>
      <c r="K267" s="4"/>
    </row>
    <row r="268" spans="8:11" x14ac:dyDescent="0.25">
      <c r="H268" s="5"/>
      <c r="J268" s="3"/>
      <c r="K268" s="4"/>
    </row>
    <row r="269" spans="8:11" x14ac:dyDescent="0.25">
      <c r="H269" s="5"/>
      <c r="J269" s="3"/>
      <c r="K269" s="4"/>
    </row>
    <row r="270" spans="8:11" x14ac:dyDescent="0.25">
      <c r="H270" s="5"/>
      <c r="J270" s="3"/>
      <c r="K270" s="4"/>
    </row>
    <row r="271" spans="8:11" x14ac:dyDescent="0.25">
      <c r="H271" s="5"/>
      <c r="J271" s="3"/>
      <c r="K271" s="4"/>
    </row>
    <row r="272" spans="8:11" x14ac:dyDescent="0.25">
      <c r="H272" s="5"/>
      <c r="J272" s="3"/>
      <c r="K272" s="4"/>
    </row>
    <row r="273" spans="8:11" x14ac:dyDescent="0.25">
      <c r="H273" s="5"/>
      <c r="J273" s="3"/>
      <c r="K273" s="4"/>
    </row>
    <row r="274" spans="8:11" x14ac:dyDescent="0.25">
      <c r="H274" s="5"/>
      <c r="J274" s="3"/>
      <c r="K274" s="4"/>
    </row>
    <row r="275" spans="8:11" x14ac:dyDescent="0.25">
      <c r="H275" s="5"/>
      <c r="J275" s="3"/>
      <c r="K275" s="4"/>
    </row>
    <row r="276" spans="8:11" x14ac:dyDescent="0.25">
      <c r="H276" s="5"/>
      <c r="J276" s="3"/>
      <c r="K276" s="4"/>
    </row>
    <row r="277" spans="8:11" x14ac:dyDescent="0.25">
      <c r="H277" s="5"/>
      <c r="J277" s="3"/>
      <c r="K277" s="4"/>
    </row>
    <row r="278" spans="8:11" x14ac:dyDescent="0.25">
      <c r="H278" s="5"/>
      <c r="J278" s="3"/>
      <c r="K278" s="4"/>
    </row>
    <row r="279" spans="8:11" x14ac:dyDescent="0.25">
      <c r="H279" s="5"/>
      <c r="J279" s="3"/>
      <c r="K279" s="4"/>
    </row>
    <row r="280" spans="8:11" x14ac:dyDescent="0.25">
      <c r="H280" s="5"/>
      <c r="J280" s="3"/>
      <c r="K280" s="4"/>
    </row>
    <row r="281" spans="8:11" x14ac:dyDescent="0.25">
      <c r="H281" s="5"/>
      <c r="J281" s="3"/>
      <c r="K281" s="4"/>
    </row>
    <row r="282" spans="8:11" x14ac:dyDescent="0.25">
      <c r="H282" s="5"/>
      <c r="J282" s="3"/>
      <c r="K282" s="4"/>
    </row>
    <row r="283" spans="8:11" x14ac:dyDescent="0.25">
      <c r="H283" s="5"/>
      <c r="J283" s="3"/>
      <c r="K283" s="4"/>
    </row>
    <row r="284" spans="8:11" x14ac:dyDescent="0.25">
      <c r="H284" s="5"/>
      <c r="J284" s="3"/>
      <c r="K284" s="4"/>
    </row>
    <row r="285" spans="8:11" x14ac:dyDescent="0.25">
      <c r="H285" s="5"/>
      <c r="J285" s="3"/>
      <c r="K285" s="4"/>
    </row>
    <row r="286" spans="8:11" x14ac:dyDescent="0.25">
      <c r="H286" s="5"/>
      <c r="J286" s="3"/>
      <c r="K286" s="4"/>
    </row>
    <row r="287" spans="8:11" x14ac:dyDescent="0.25">
      <c r="H287" s="5"/>
      <c r="J287" s="3"/>
      <c r="K287" s="4"/>
    </row>
    <row r="288" spans="8:11" x14ac:dyDescent="0.25">
      <c r="H288" s="5"/>
      <c r="J288" s="3"/>
      <c r="K288" s="4"/>
    </row>
    <row r="289" spans="8:11" x14ac:dyDescent="0.25">
      <c r="H289" s="5"/>
      <c r="J289" s="3"/>
      <c r="K289" s="4"/>
    </row>
    <row r="290" spans="8:11" x14ac:dyDescent="0.25">
      <c r="H290" s="5"/>
      <c r="J290" s="3"/>
      <c r="K290" s="4"/>
    </row>
    <row r="291" spans="8:11" x14ac:dyDescent="0.25">
      <c r="H291" s="5"/>
      <c r="J291" s="3"/>
      <c r="K291" s="4"/>
    </row>
    <row r="292" spans="8:11" x14ac:dyDescent="0.25">
      <c r="H292" s="5"/>
      <c r="J292" s="3"/>
      <c r="K292" s="4"/>
    </row>
    <row r="293" spans="8:11" x14ac:dyDescent="0.25">
      <c r="H293" s="5"/>
      <c r="J293" s="3"/>
      <c r="K293" s="4"/>
    </row>
    <row r="294" spans="8:11" x14ac:dyDescent="0.25">
      <c r="H294" s="5"/>
      <c r="J294" s="3"/>
      <c r="K294" s="4"/>
    </row>
    <row r="295" spans="8:11" x14ac:dyDescent="0.25">
      <c r="H295" s="5"/>
      <c r="J295" s="3"/>
      <c r="K295" s="4"/>
    </row>
    <row r="296" spans="8:11" x14ac:dyDescent="0.25">
      <c r="H296" s="5"/>
      <c r="J296" s="3"/>
      <c r="K296" s="4"/>
    </row>
    <row r="297" spans="8:11" x14ac:dyDescent="0.25">
      <c r="H297" s="5"/>
      <c r="J297" s="3"/>
      <c r="K297" s="4"/>
    </row>
    <row r="298" spans="8:11" x14ac:dyDescent="0.25">
      <c r="H298" s="5"/>
      <c r="J298" s="3"/>
      <c r="K298" s="4"/>
    </row>
    <row r="299" spans="8:11" x14ac:dyDescent="0.25">
      <c r="H299" s="5"/>
      <c r="J299" s="3"/>
      <c r="K299" s="4"/>
    </row>
    <row r="300" spans="8:11" x14ac:dyDescent="0.25">
      <c r="H300" s="5"/>
      <c r="J300" s="3"/>
      <c r="K300" s="4"/>
    </row>
    <row r="301" spans="8:11" x14ac:dyDescent="0.25">
      <c r="H301" s="5"/>
      <c r="J301" s="3"/>
      <c r="K301" s="4"/>
    </row>
    <row r="302" spans="8:11" x14ac:dyDescent="0.25">
      <c r="H302" s="5"/>
      <c r="J302" s="3"/>
      <c r="K302" s="4"/>
    </row>
    <row r="303" spans="8:11" x14ac:dyDescent="0.25">
      <c r="H303" s="5"/>
      <c r="J303" s="3"/>
      <c r="K303" s="4"/>
    </row>
    <row r="304" spans="8:11" x14ac:dyDescent="0.25">
      <c r="H304" s="5"/>
      <c r="J304" s="3"/>
      <c r="K304" s="4"/>
    </row>
    <row r="305" spans="8:11" x14ac:dyDescent="0.25">
      <c r="H305" s="5"/>
      <c r="J305" s="3"/>
      <c r="K305" s="4"/>
    </row>
    <row r="306" spans="8:11" x14ac:dyDescent="0.25">
      <c r="H306" s="5"/>
      <c r="J306" s="3"/>
      <c r="K306" s="4"/>
    </row>
    <row r="307" spans="8:11" x14ac:dyDescent="0.25">
      <c r="H307" s="5"/>
      <c r="J307" s="3"/>
      <c r="K307" s="4"/>
    </row>
    <row r="308" spans="8:11" x14ac:dyDescent="0.25">
      <c r="H308" s="5"/>
      <c r="J308" s="3"/>
      <c r="K308" s="4"/>
    </row>
    <row r="309" spans="8:11" x14ac:dyDescent="0.25">
      <c r="H309" s="5"/>
      <c r="J309" s="3"/>
      <c r="K309" s="4"/>
    </row>
    <row r="310" spans="8:11" x14ac:dyDescent="0.25">
      <c r="H310" s="5"/>
      <c r="J310" s="3"/>
      <c r="K310" s="4"/>
    </row>
    <row r="311" spans="8:11" x14ac:dyDescent="0.25">
      <c r="H311" s="5"/>
      <c r="J311" s="3"/>
      <c r="K311" s="4"/>
    </row>
    <row r="312" spans="8:11" x14ac:dyDescent="0.25">
      <c r="H312" s="5"/>
      <c r="J312" s="3"/>
      <c r="K312" s="4"/>
    </row>
    <row r="313" spans="8:11" x14ac:dyDescent="0.25">
      <c r="H313" s="5"/>
      <c r="J313" s="3"/>
      <c r="K313" s="4"/>
    </row>
    <row r="314" spans="8:11" x14ac:dyDescent="0.25">
      <c r="H314" s="5"/>
      <c r="J314" s="3"/>
      <c r="K314" s="4"/>
    </row>
    <row r="315" spans="8:11" x14ac:dyDescent="0.25">
      <c r="H315" s="5"/>
      <c r="J315" s="3"/>
      <c r="K315" s="4"/>
    </row>
    <row r="316" spans="8:11" x14ac:dyDescent="0.25">
      <c r="H316" s="5"/>
      <c r="J316" s="3"/>
      <c r="K316" s="4"/>
    </row>
    <row r="317" spans="8:11" x14ac:dyDescent="0.25">
      <c r="H317" s="5"/>
      <c r="J317" s="3"/>
      <c r="K317" s="4"/>
    </row>
    <row r="318" spans="8:11" x14ac:dyDescent="0.25">
      <c r="H318" s="5"/>
      <c r="J318" s="3"/>
      <c r="K318" s="4"/>
    </row>
    <row r="319" spans="8:11" x14ac:dyDescent="0.25">
      <c r="H319" s="5"/>
      <c r="J319" s="3"/>
      <c r="K319" s="4"/>
    </row>
    <row r="320" spans="8:11" x14ac:dyDescent="0.25">
      <c r="H320" s="5"/>
      <c r="J320" s="3"/>
      <c r="K320" s="4"/>
    </row>
    <row r="321" spans="8:11" x14ac:dyDescent="0.25">
      <c r="H321" s="5"/>
      <c r="J321" s="3"/>
      <c r="K321" s="4"/>
    </row>
    <row r="322" spans="8:11" x14ac:dyDescent="0.25">
      <c r="H322" s="5"/>
      <c r="J322" s="3"/>
      <c r="K322" s="4"/>
    </row>
    <row r="323" spans="8:11" x14ac:dyDescent="0.25">
      <c r="H323" s="5"/>
      <c r="J323" s="3"/>
      <c r="K323" s="4"/>
    </row>
    <row r="324" spans="8:11" x14ac:dyDescent="0.25">
      <c r="H324" s="5"/>
      <c r="J324" s="3"/>
      <c r="K324" s="4"/>
    </row>
    <row r="325" spans="8:11" x14ac:dyDescent="0.25">
      <c r="H325" s="5"/>
      <c r="J325" s="3"/>
      <c r="K325" s="4"/>
    </row>
    <row r="326" spans="8:11" x14ac:dyDescent="0.25">
      <c r="H326" s="5"/>
      <c r="J326" s="3"/>
      <c r="K326" s="4"/>
    </row>
    <row r="327" spans="8:11" x14ac:dyDescent="0.25">
      <c r="H327" s="5"/>
      <c r="J327" s="3"/>
      <c r="K327" s="4"/>
    </row>
    <row r="328" spans="8:11" x14ac:dyDescent="0.25">
      <c r="H328" s="5"/>
      <c r="J328" s="3"/>
      <c r="K328" s="4"/>
    </row>
    <row r="329" spans="8:11" x14ac:dyDescent="0.25">
      <c r="H329" s="5"/>
      <c r="J329" s="3"/>
      <c r="K329" s="4"/>
    </row>
    <row r="330" spans="8:11" x14ac:dyDescent="0.25">
      <c r="H330" s="5"/>
      <c r="J330" s="3"/>
      <c r="K330" s="4"/>
    </row>
    <row r="331" spans="8:11" x14ac:dyDescent="0.25">
      <c r="H331" s="5"/>
      <c r="J331" s="3"/>
      <c r="K331" s="4"/>
    </row>
    <row r="332" spans="8:11" x14ac:dyDescent="0.25">
      <c r="H332" s="5"/>
      <c r="J332" s="3"/>
      <c r="K332" s="4"/>
    </row>
    <row r="333" spans="8:11" x14ac:dyDescent="0.25">
      <c r="H333" s="5"/>
      <c r="J333" s="3"/>
      <c r="K333" s="4"/>
    </row>
    <row r="334" spans="8:11" x14ac:dyDescent="0.25">
      <c r="H334" s="5"/>
      <c r="J334" s="3"/>
      <c r="K334" s="4"/>
    </row>
    <row r="335" spans="8:11" x14ac:dyDescent="0.25">
      <c r="H335" s="5"/>
      <c r="J335" s="3"/>
      <c r="K335" s="4"/>
    </row>
    <row r="336" spans="8:11" x14ac:dyDescent="0.25">
      <c r="H336" s="5"/>
      <c r="J336" s="3"/>
      <c r="K336" s="4"/>
    </row>
    <row r="337" spans="8:11" x14ac:dyDescent="0.25">
      <c r="H337" s="5"/>
      <c r="J337" s="3"/>
      <c r="K337" s="4"/>
    </row>
    <row r="338" spans="8:11" x14ac:dyDescent="0.25">
      <c r="H338" s="5"/>
      <c r="J338" s="3"/>
      <c r="K338" s="4"/>
    </row>
    <row r="339" spans="8:11" x14ac:dyDescent="0.25">
      <c r="H339" s="5"/>
      <c r="J339" s="3"/>
      <c r="K339" s="4"/>
    </row>
    <row r="340" spans="8:11" x14ac:dyDescent="0.25">
      <c r="H340" s="5"/>
      <c r="J340" s="3"/>
      <c r="K340" s="4"/>
    </row>
    <row r="341" spans="8:11" x14ac:dyDescent="0.25">
      <c r="H341" s="5"/>
      <c r="J341" s="3"/>
      <c r="K341" s="4"/>
    </row>
    <row r="342" spans="8:11" x14ac:dyDescent="0.25">
      <c r="H342" s="5"/>
      <c r="J342" s="3"/>
      <c r="K342" s="4"/>
    </row>
    <row r="343" spans="8:11" x14ac:dyDescent="0.25">
      <c r="H343" s="5"/>
      <c r="J343" s="3"/>
      <c r="K343" s="4"/>
    </row>
    <row r="344" spans="8:11" x14ac:dyDescent="0.25">
      <c r="H344" s="5"/>
      <c r="J344" s="3"/>
      <c r="K344" s="4"/>
    </row>
    <row r="345" spans="8:11" x14ac:dyDescent="0.25">
      <c r="H345" s="5"/>
      <c r="J345" s="3"/>
      <c r="K345" s="4"/>
    </row>
    <row r="346" spans="8:11" x14ac:dyDescent="0.25">
      <c r="H346" s="5"/>
      <c r="J346" s="3"/>
      <c r="K346" s="4"/>
    </row>
    <row r="347" spans="8:11" x14ac:dyDescent="0.25">
      <c r="H347" s="5"/>
      <c r="J347" s="3"/>
      <c r="K347" s="4"/>
    </row>
    <row r="348" spans="8:11" x14ac:dyDescent="0.25">
      <c r="H348" s="5"/>
      <c r="J348" s="3"/>
      <c r="K348" s="4"/>
    </row>
    <row r="349" spans="8:11" x14ac:dyDescent="0.25">
      <c r="H349" s="5"/>
      <c r="J349" s="3"/>
      <c r="K349" s="4"/>
    </row>
    <row r="350" spans="8:11" x14ac:dyDescent="0.25">
      <c r="H350" s="5"/>
      <c r="J350" s="3"/>
      <c r="K350" s="4"/>
    </row>
    <row r="351" spans="8:11" x14ac:dyDescent="0.25">
      <c r="H351" s="5"/>
      <c r="J351" s="3"/>
      <c r="K351" s="4"/>
    </row>
    <row r="352" spans="8:11" x14ac:dyDescent="0.25">
      <c r="H352" s="5"/>
      <c r="J352" s="3"/>
      <c r="K352" s="4"/>
    </row>
    <row r="353" spans="8:11" x14ac:dyDescent="0.25">
      <c r="H353" s="5"/>
      <c r="J353" s="3"/>
      <c r="K353" s="4"/>
    </row>
    <row r="354" spans="8:11" x14ac:dyDescent="0.25">
      <c r="H354" s="5"/>
      <c r="J354" s="3"/>
      <c r="K354" s="4"/>
    </row>
    <row r="355" spans="8:11" x14ac:dyDescent="0.25">
      <c r="H355" s="5"/>
      <c r="J355" s="3"/>
      <c r="K355" s="4"/>
    </row>
    <row r="356" spans="8:11" x14ac:dyDescent="0.25">
      <c r="H356" s="5"/>
      <c r="J356" s="3"/>
      <c r="K356" s="4"/>
    </row>
    <row r="357" spans="8:11" x14ac:dyDescent="0.25">
      <c r="H357" s="5"/>
      <c r="J357" s="3"/>
      <c r="K357" s="4"/>
    </row>
    <row r="358" spans="8:11" x14ac:dyDescent="0.25">
      <c r="H358" s="5"/>
      <c r="J358" s="3"/>
      <c r="K358" s="4"/>
    </row>
    <row r="359" spans="8:11" x14ac:dyDescent="0.25">
      <c r="H359" s="5"/>
      <c r="J359" s="3"/>
      <c r="K359" s="4"/>
    </row>
    <row r="360" spans="8:11" x14ac:dyDescent="0.25">
      <c r="H360" s="5"/>
      <c r="J360" s="3"/>
      <c r="K360" s="4"/>
    </row>
    <row r="361" spans="8:11" x14ac:dyDescent="0.25">
      <c r="H361" s="5"/>
      <c r="J361" s="3"/>
      <c r="K361" s="4"/>
    </row>
    <row r="362" spans="8:11" x14ac:dyDescent="0.25">
      <c r="H362" s="5"/>
      <c r="J362" s="3"/>
      <c r="K362" s="4"/>
    </row>
    <row r="363" spans="8:11" x14ac:dyDescent="0.25">
      <c r="H363" s="5"/>
      <c r="J363" s="3"/>
      <c r="K363" s="4"/>
    </row>
    <row r="364" spans="8:11" x14ac:dyDescent="0.25">
      <c r="H364" s="5"/>
      <c r="J364" s="3"/>
      <c r="K364" s="4"/>
    </row>
    <row r="365" spans="8:11" x14ac:dyDescent="0.25">
      <c r="H365" s="5"/>
      <c r="J365" s="3"/>
      <c r="K365" s="4"/>
    </row>
    <row r="366" spans="8:11" x14ac:dyDescent="0.25">
      <c r="H366" s="5"/>
      <c r="J366" s="3"/>
      <c r="K366" s="4"/>
    </row>
    <row r="367" spans="8:11" x14ac:dyDescent="0.25">
      <c r="H367" s="5"/>
      <c r="J367" s="3"/>
      <c r="K367" s="4"/>
    </row>
    <row r="368" spans="8:11" x14ac:dyDescent="0.25">
      <c r="H368" s="5"/>
      <c r="J368" s="3"/>
      <c r="K368" s="4"/>
    </row>
    <row r="369" spans="8:11" x14ac:dyDescent="0.25">
      <c r="H369" s="5"/>
      <c r="J369" s="3"/>
      <c r="K369" s="4"/>
    </row>
    <row r="370" spans="8:11" x14ac:dyDescent="0.25">
      <c r="H370" s="5"/>
      <c r="J370" s="3"/>
      <c r="K370" s="4"/>
    </row>
    <row r="371" spans="8:11" x14ac:dyDescent="0.25">
      <c r="H371" s="5"/>
      <c r="J371" s="3"/>
      <c r="K371" s="4"/>
    </row>
    <row r="372" spans="8:11" x14ac:dyDescent="0.25">
      <c r="H372" s="5"/>
      <c r="J372" s="3"/>
      <c r="K372" s="4"/>
    </row>
    <row r="373" spans="8:11" x14ac:dyDescent="0.25">
      <c r="H373" s="5"/>
      <c r="J373" s="3"/>
      <c r="K373" s="4"/>
    </row>
    <row r="374" spans="8:11" x14ac:dyDescent="0.25">
      <c r="H374" s="5"/>
      <c r="J374" s="3"/>
      <c r="K374" s="4"/>
    </row>
    <row r="375" spans="8:11" x14ac:dyDescent="0.25">
      <c r="H375" s="5"/>
      <c r="J375" s="3"/>
      <c r="K375" s="4"/>
    </row>
    <row r="376" spans="8:11" x14ac:dyDescent="0.25">
      <c r="H376" s="5"/>
      <c r="J376" s="3"/>
      <c r="K376" s="4"/>
    </row>
    <row r="377" spans="8:11" x14ac:dyDescent="0.25">
      <c r="H377" s="5"/>
      <c r="J377" s="3"/>
      <c r="K377" s="4"/>
    </row>
    <row r="378" spans="8:11" x14ac:dyDescent="0.25">
      <c r="H378" s="5"/>
      <c r="J378" s="3"/>
      <c r="K378" s="4"/>
    </row>
    <row r="379" spans="8:11" x14ac:dyDescent="0.25">
      <c r="H379" s="5"/>
      <c r="J379" s="3"/>
      <c r="K379" s="4"/>
    </row>
    <row r="380" spans="8:11" x14ac:dyDescent="0.25">
      <c r="H380" s="5"/>
      <c r="J380" s="3"/>
      <c r="K380" s="4"/>
    </row>
    <row r="381" spans="8:11" x14ac:dyDescent="0.25">
      <c r="H381" s="5"/>
      <c r="J381" s="3"/>
      <c r="K381" s="4"/>
    </row>
    <row r="382" spans="8:11" x14ac:dyDescent="0.25">
      <c r="H382" s="5"/>
      <c r="J382" s="3"/>
      <c r="K382" s="4"/>
    </row>
    <row r="383" spans="8:11" x14ac:dyDescent="0.25">
      <c r="H383" s="5"/>
      <c r="J383" s="3"/>
      <c r="K383" s="4"/>
    </row>
    <row r="384" spans="8:11" x14ac:dyDescent="0.25">
      <c r="H384" s="5"/>
      <c r="J384" s="3"/>
      <c r="K384" s="4"/>
    </row>
    <row r="385" spans="8:11" x14ac:dyDescent="0.25">
      <c r="H385" s="5"/>
      <c r="J385" s="3"/>
      <c r="K385" s="4"/>
    </row>
    <row r="386" spans="8:11" x14ac:dyDescent="0.25">
      <c r="H386" s="5"/>
      <c r="J386" s="3"/>
      <c r="K386" s="4"/>
    </row>
    <row r="387" spans="8:11" x14ac:dyDescent="0.25">
      <c r="H387" s="5"/>
      <c r="J387" s="3"/>
      <c r="K387" s="4"/>
    </row>
    <row r="388" spans="8:11" x14ac:dyDescent="0.25">
      <c r="H388" s="5"/>
      <c r="J388" s="3"/>
      <c r="K388" s="4"/>
    </row>
    <row r="389" spans="8:11" x14ac:dyDescent="0.25">
      <c r="H389" s="5"/>
      <c r="J389" s="3"/>
      <c r="K389" s="4"/>
    </row>
    <row r="390" spans="8:11" x14ac:dyDescent="0.25">
      <c r="H390" s="5"/>
      <c r="J390" s="3"/>
      <c r="K390" s="4"/>
    </row>
    <row r="391" spans="8:11" x14ac:dyDescent="0.25">
      <c r="H391" s="5"/>
      <c r="J391" s="3"/>
      <c r="K391" s="4"/>
    </row>
    <row r="392" spans="8:11" x14ac:dyDescent="0.25">
      <c r="H392" s="5"/>
      <c r="J392" s="3"/>
      <c r="K392" s="4"/>
    </row>
    <row r="393" spans="8:11" x14ac:dyDescent="0.25">
      <c r="H393" s="5"/>
      <c r="J393" s="3"/>
      <c r="K393" s="4"/>
    </row>
    <row r="394" spans="8:11" x14ac:dyDescent="0.25">
      <c r="H394" s="5"/>
      <c r="J394" s="3"/>
      <c r="K394" s="4"/>
    </row>
    <row r="395" spans="8:11" x14ac:dyDescent="0.25">
      <c r="H395" s="5"/>
      <c r="J395" s="3"/>
      <c r="K395" s="4"/>
    </row>
    <row r="396" spans="8:11" x14ac:dyDescent="0.25">
      <c r="H396" s="5"/>
      <c r="J396" s="3"/>
      <c r="K396" s="4"/>
    </row>
    <row r="397" spans="8:11" x14ac:dyDescent="0.25">
      <c r="H397" s="5"/>
      <c r="J397" s="3"/>
      <c r="K397" s="4"/>
    </row>
    <row r="398" spans="8:11" x14ac:dyDescent="0.25">
      <c r="H398" s="5"/>
      <c r="J398" s="3"/>
      <c r="K398" s="4"/>
    </row>
    <row r="399" spans="8:11" x14ac:dyDescent="0.25">
      <c r="H399" s="5"/>
      <c r="J399" s="3"/>
      <c r="K399" s="4"/>
    </row>
    <row r="400" spans="8:11" x14ac:dyDescent="0.25">
      <c r="H400" s="5"/>
      <c r="J400" s="3"/>
      <c r="K400" s="4"/>
    </row>
    <row r="401" spans="8:11" x14ac:dyDescent="0.25">
      <c r="H401" s="5"/>
      <c r="J401" s="3"/>
      <c r="K401" s="4"/>
    </row>
    <row r="402" spans="8:11" x14ac:dyDescent="0.25">
      <c r="H402" s="5"/>
      <c r="J402" s="3"/>
      <c r="K402" s="4"/>
    </row>
    <row r="403" spans="8:11" x14ac:dyDescent="0.25">
      <c r="H403" s="5"/>
      <c r="J403" s="3"/>
      <c r="K403" s="4"/>
    </row>
    <row r="404" spans="8:11" x14ac:dyDescent="0.25">
      <c r="H404" s="5"/>
      <c r="J404" s="3"/>
      <c r="K404" s="4"/>
    </row>
    <row r="405" spans="8:11" x14ac:dyDescent="0.25">
      <c r="H405" s="5"/>
      <c r="J405" s="3"/>
      <c r="K405" s="4"/>
    </row>
    <row r="406" spans="8:11" x14ac:dyDescent="0.25">
      <c r="H406" s="5"/>
      <c r="J406" s="3"/>
      <c r="K406" s="4"/>
    </row>
    <row r="407" spans="8:11" x14ac:dyDescent="0.25">
      <c r="H407" s="5"/>
      <c r="J407" s="3"/>
      <c r="K407" s="4"/>
    </row>
    <row r="408" spans="8:11" x14ac:dyDescent="0.25">
      <c r="H408" s="5"/>
      <c r="J408" s="3"/>
      <c r="K408" s="4"/>
    </row>
    <row r="409" spans="8:11" x14ac:dyDescent="0.25">
      <c r="H409" s="5"/>
      <c r="J409" s="3"/>
      <c r="K409" s="4"/>
    </row>
    <row r="410" spans="8:11" x14ac:dyDescent="0.25">
      <c r="H410" s="5"/>
      <c r="J410" s="3"/>
      <c r="K410" s="4"/>
    </row>
    <row r="411" spans="8:11" x14ac:dyDescent="0.25">
      <c r="H411" s="5"/>
      <c r="J411" s="3"/>
      <c r="K411" s="4"/>
    </row>
    <row r="412" spans="8:11" x14ac:dyDescent="0.25">
      <c r="H412" s="5"/>
      <c r="J412" s="3"/>
      <c r="K412" s="4"/>
    </row>
    <row r="413" spans="8:11" x14ac:dyDescent="0.25">
      <c r="H413" s="5"/>
      <c r="J413" s="3"/>
      <c r="K413" s="4"/>
    </row>
    <row r="414" spans="8:11" x14ac:dyDescent="0.25">
      <c r="H414" s="5"/>
      <c r="J414" s="3"/>
      <c r="K414" s="4"/>
    </row>
    <row r="415" spans="8:11" x14ac:dyDescent="0.25">
      <c r="H415" s="5"/>
      <c r="J415" s="3"/>
      <c r="K415" s="4"/>
    </row>
    <row r="416" spans="8:11" x14ac:dyDescent="0.25">
      <c r="H416" s="5"/>
      <c r="J416" s="3"/>
      <c r="K416" s="4"/>
    </row>
    <row r="417" spans="8:11" x14ac:dyDescent="0.25">
      <c r="H417" s="5"/>
      <c r="J417" s="3"/>
      <c r="K417" s="4"/>
    </row>
    <row r="418" spans="8:11" x14ac:dyDescent="0.25">
      <c r="H418" s="5"/>
      <c r="J418" s="3"/>
      <c r="K418" s="4"/>
    </row>
    <row r="419" spans="8:11" x14ac:dyDescent="0.25">
      <c r="H419" s="5"/>
      <c r="J419" s="3"/>
      <c r="K419" s="4"/>
    </row>
    <row r="420" spans="8:11" x14ac:dyDescent="0.25">
      <c r="H420" s="5"/>
      <c r="J420" s="3"/>
      <c r="K420" s="4"/>
    </row>
    <row r="421" spans="8:11" x14ac:dyDescent="0.25">
      <c r="H421" s="5"/>
      <c r="J421" s="3"/>
      <c r="K421" s="4"/>
    </row>
    <row r="422" spans="8:11" x14ac:dyDescent="0.25">
      <c r="H422" s="5"/>
      <c r="J422" s="3"/>
      <c r="K422" s="4"/>
    </row>
    <row r="423" spans="8:11" x14ac:dyDescent="0.25">
      <c r="H423" s="5"/>
      <c r="J423" s="3"/>
      <c r="K423" s="4"/>
    </row>
    <row r="424" spans="8:11" x14ac:dyDescent="0.25">
      <c r="H424" s="5"/>
      <c r="J424" s="3"/>
      <c r="K424" s="4"/>
    </row>
    <row r="425" spans="8:11" x14ac:dyDescent="0.25">
      <c r="H425" s="5"/>
      <c r="J425" s="3"/>
      <c r="K425" s="4"/>
    </row>
    <row r="426" spans="8:11" x14ac:dyDescent="0.25">
      <c r="H426" s="5"/>
      <c r="J426" s="3"/>
      <c r="K426" s="4"/>
    </row>
    <row r="427" spans="8:11" x14ac:dyDescent="0.25">
      <c r="H427" s="5"/>
      <c r="J427" s="3"/>
      <c r="K427" s="4"/>
    </row>
    <row r="428" spans="8:11" x14ac:dyDescent="0.25">
      <c r="H428" s="5"/>
      <c r="J428" s="3"/>
      <c r="K428" s="4"/>
    </row>
    <row r="429" spans="8:11" x14ac:dyDescent="0.25">
      <c r="H429" s="5"/>
      <c r="J429" s="3"/>
      <c r="K429" s="4"/>
    </row>
    <row r="430" spans="8:11" x14ac:dyDescent="0.25">
      <c r="H430" s="5"/>
      <c r="J430" s="3"/>
      <c r="K430" s="4"/>
    </row>
    <row r="431" spans="8:11" x14ac:dyDescent="0.25">
      <c r="H431" s="5"/>
      <c r="J431" s="3"/>
      <c r="K431" s="4"/>
    </row>
    <row r="432" spans="8:11" x14ac:dyDescent="0.25">
      <c r="H432" s="5"/>
      <c r="J432" s="3"/>
      <c r="K432" s="4"/>
    </row>
    <row r="433" spans="8:11" x14ac:dyDescent="0.25">
      <c r="H433" s="5"/>
      <c r="J433" s="3"/>
      <c r="K433" s="4"/>
    </row>
    <row r="434" spans="8:11" x14ac:dyDescent="0.25">
      <c r="H434" s="5"/>
      <c r="J434" s="3"/>
      <c r="K434" s="4"/>
    </row>
    <row r="435" spans="8:11" x14ac:dyDescent="0.25">
      <c r="H435" s="5"/>
      <c r="J435" s="3"/>
      <c r="K435" s="4"/>
    </row>
    <row r="436" spans="8:11" x14ac:dyDescent="0.25">
      <c r="H436" s="5"/>
      <c r="J436" s="3"/>
      <c r="K436" s="4"/>
    </row>
    <row r="437" spans="8:11" x14ac:dyDescent="0.25">
      <c r="H437" s="5"/>
      <c r="J437" s="3"/>
      <c r="K437" s="4"/>
    </row>
    <row r="438" spans="8:11" x14ac:dyDescent="0.25">
      <c r="H438" s="5"/>
      <c r="J438" s="3"/>
      <c r="K438" s="4"/>
    </row>
    <row r="439" spans="8:11" x14ac:dyDescent="0.25">
      <c r="H439" s="5"/>
      <c r="J439" s="3"/>
      <c r="K439" s="4"/>
    </row>
    <row r="440" spans="8:11" x14ac:dyDescent="0.25">
      <c r="H440" s="5"/>
      <c r="J440" s="3"/>
      <c r="K440" s="4"/>
    </row>
    <row r="441" spans="8:11" x14ac:dyDescent="0.25">
      <c r="H441" s="5"/>
      <c r="J441" s="3"/>
      <c r="K441" s="4"/>
    </row>
    <row r="442" spans="8:11" x14ac:dyDescent="0.25">
      <c r="H442" s="5"/>
      <c r="J442" s="3"/>
      <c r="K442" s="4"/>
    </row>
    <row r="443" spans="8:11" x14ac:dyDescent="0.25">
      <c r="H443" s="5"/>
      <c r="J443" s="3"/>
      <c r="K443" s="4"/>
    </row>
    <row r="444" spans="8:11" x14ac:dyDescent="0.25">
      <c r="H444" s="5"/>
      <c r="J444" s="3"/>
      <c r="K444" s="4"/>
    </row>
    <row r="445" spans="8:11" x14ac:dyDescent="0.25">
      <c r="H445" s="5"/>
      <c r="J445" s="3"/>
      <c r="K445" s="4"/>
    </row>
    <row r="446" spans="8:11" x14ac:dyDescent="0.25">
      <c r="H446" s="5"/>
      <c r="J446" s="3"/>
      <c r="K446" s="4"/>
    </row>
    <row r="447" spans="8:11" x14ac:dyDescent="0.25">
      <c r="H447" s="5"/>
      <c r="J447" s="3"/>
      <c r="K447" s="4"/>
    </row>
    <row r="448" spans="8:11" x14ac:dyDescent="0.25">
      <c r="H448" s="5"/>
      <c r="J448" s="3"/>
      <c r="K448" s="4"/>
    </row>
    <row r="449" spans="8:11" x14ac:dyDescent="0.25">
      <c r="H449" s="5"/>
      <c r="J449" s="3"/>
      <c r="K449" s="4"/>
    </row>
    <row r="450" spans="8:11" x14ac:dyDescent="0.25">
      <c r="H450" s="5"/>
      <c r="J450" s="3"/>
      <c r="K450" s="4"/>
    </row>
    <row r="451" spans="8:11" x14ac:dyDescent="0.25">
      <c r="H451" s="5"/>
      <c r="J451" s="3"/>
      <c r="K451" s="4"/>
    </row>
    <row r="452" spans="8:11" x14ac:dyDescent="0.25">
      <c r="H452" s="5"/>
      <c r="J452" s="3"/>
      <c r="K452" s="4"/>
    </row>
    <row r="453" spans="8:11" x14ac:dyDescent="0.25">
      <c r="H453" s="5"/>
      <c r="J453" s="3"/>
      <c r="K453" s="4"/>
    </row>
    <row r="454" spans="8:11" x14ac:dyDescent="0.25">
      <c r="H454" s="5"/>
      <c r="J454" s="3"/>
      <c r="K454" s="4"/>
    </row>
    <row r="455" spans="8:11" x14ac:dyDescent="0.25">
      <c r="H455" s="5"/>
      <c r="J455" s="3"/>
      <c r="K455" s="4"/>
    </row>
    <row r="456" spans="8:11" x14ac:dyDescent="0.25">
      <c r="H456" s="5"/>
      <c r="J456" s="3"/>
      <c r="K456" s="4"/>
    </row>
    <row r="457" spans="8:11" x14ac:dyDescent="0.25">
      <c r="H457" s="5"/>
      <c r="J457" s="3"/>
      <c r="K457" s="4"/>
    </row>
    <row r="458" spans="8:11" x14ac:dyDescent="0.25">
      <c r="H458" s="5"/>
      <c r="J458" s="3"/>
      <c r="K458" s="4"/>
    </row>
    <row r="459" spans="8:11" x14ac:dyDescent="0.25">
      <c r="H459" s="5"/>
      <c r="J459" s="3"/>
      <c r="K459" s="4"/>
    </row>
    <row r="460" spans="8:11" x14ac:dyDescent="0.25">
      <c r="H460" s="5"/>
      <c r="J460" s="3"/>
      <c r="K460" s="4"/>
    </row>
    <row r="461" spans="8:11" x14ac:dyDescent="0.25">
      <c r="H461" s="5"/>
      <c r="J461" s="3"/>
      <c r="K461" s="4"/>
    </row>
    <row r="462" spans="8:11" x14ac:dyDescent="0.25">
      <c r="H462" s="5"/>
      <c r="J462" s="3"/>
      <c r="K462" s="4"/>
    </row>
    <row r="463" spans="8:11" x14ac:dyDescent="0.25">
      <c r="H463" s="5"/>
      <c r="J463" s="3"/>
      <c r="K463" s="4"/>
    </row>
    <row r="464" spans="8:11" x14ac:dyDescent="0.25">
      <c r="H464" s="5"/>
      <c r="J464" s="3"/>
      <c r="K464" s="4"/>
    </row>
    <row r="465" spans="8:11" x14ac:dyDescent="0.25">
      <c r="H465" s="5"/>
      <c r="J465" s="3"/>
      <c r="K465" s="4"/>
    </row>
    <row r="466" spans="8:11" x14ac:dyDescent="0.25">
      <c r="H466" s="5"/>
      <c r="J466" s="3"/>
      <c r="K466" s="4"/>
    </row>
    <row r="467" spans="8:11" x14ac:dyDescent="0.25">
      <c r="H467" s="5"/>
      <c r="J467" s="3"/>
      <c r="K467" s="4"/>
    </row>
    <row r="468" spans="8:11" x14ac:dyDescent="0.25">
      <c r="H468" s="5"/>
      <c r="J468" s="3"/>
      <c r="K468" s="4"/>
    </row>
    <row r="469" spans="8:11" x14ac:dyDescent="0.25">
      <c r="H469" s="5"/>
      <c r="J469" s="3"/>
      <c r="K469" s="4"/>
    </row>
    <row r="470" spans="8:11" x14ac:dyDescent="0.25">
      <c r="H470" s="5"/>
      <c r="J470" s="3"/>
      <c r="K470" s="4"/>
    </row>
    <row r="471" spans="8:11" x14ac:dyDescent="0.25">
      <c r="H471" s="5"/>
      <c r="J471" s="3"/>
      <c r="K471" s="4"/>
    </row>
    <row r="472" spans="8:11" x14ac:dyDescent="0.25">
      <c r="H472" s="5"/>
      <c r="J472" s="3"/>
      <c r="K472" s="4"/>
    </row>
    <row r="473" spans="8:11" x14ac:dyDescent="0.25">
      <c r="H473" s="5"/>
      <c r="J473" s="3"/>
      <c r="K473" s="4"/>
    </row>
    <row r="474" spans="8:11" x14ac:dyDescent="0.25">
      <c r="H474" s="5"/>
      <c r="J474" s="3"/>
      <c r="K474" s="4"/>
    </row>
    <row r="475" spans="8:11" x14ac:dyDescent="0.25">
      <c r="H475" s="5"/>
      <c r="J475" s="3"/>
      <c r="K475" s="4"/>
    </row>
    <row r="476" spans="8:11" x14ac:dyDescent="0.25">
      <c r="H476" s="5"/>
      <c r="J476" s="3"/>
      <c r="K476" s="4"/>
    </row>
    <row r="477" spans="8:11" x14ac:dyDescent="0.25">
      <c r="H477" s="5"/>
      <c r="J477" s="3"/>
      <c r="K477" s="4"/>
    </row>
    <row r="478" spans="8:11" x14ac:dyDescent="0.25">
      <c r="H478" s="5"/>
      <c r="J478" s="3"/>
      <c r="K478" s="4"/>
    </row>
    <row r="479" spans="8:11" x14ac:dyDescent="0.25">
      <c r="H479" s="5"/>
      <c r="J479" s="3"/>
      <c r="K479" s="4"/>
    </row>
    <row r="480" spans="8:11" x14ac:dyDescent="0.25">
      <c r="H480" s="5"/>
      <c r="J480" s="3"/>
      <c r="K480" s="4"/>
    </row>
    <row r="481" spans="8:11" x14ac:dyDescent="0.25">
      <c r="H481" s="5"/>
      <c r="J481" s="3"/>
      <c r="K481" s="4"/>
    </row>
    <row r="482" spans="8:11" x14ac:dyDescent="0.25">
      <c r="H482" s="5"/>
      <c r="J482" s="3"/>
      <c r="K482" s="4"/>
    </row>
    <row r="483" spans="8:11" x14ac:dyDescent="0.25">
      <c r="H483" s="5"/>
      <c r="J483" s="3"/>
      <c r="K483" s="4"/>
    </row>
    <row r="484" spans="8:11" x14ac:dyDescent="0.25">
      <c r="H484" s="5"/>
      <c r="J484" s="3"/>
      <c r="K484" s="4"/>
    </row>
    <row r="485" spans="8:11" x14ac:dyDescent="0.25">
      <c r="H485" s="5"/>
      <c r="J485" s="3"/>
      <c r="K485" s="4"/>
    </row>
    <row r="486" spans="8:11" x14ac:dyDescent="0.25">
      <c r="H486" s="5"/>
      <c r="J486" s="3"/>
      <c r="K486" s="4"/>
    </row>
    <row r="487" spans="8:11" x14ac:dyDescent="0.25">
      <c r="H487" s="5"/>
      <c r="J487" s="3"/>
      <c r="K487" s="4"/>
    </row>
    <row r="488" spans="8:11" x14ac:dyDescent="0.25">
      <c r="H488" s="5"/>
      <c r="J488" s="3"/>
      <c r="K488" s="4"/>
    </row>
    <row r="489" spans="8:11" x14ac:dyDescent="0.25">
      <c r="H489" s="5"/>
      <c r="J489" s="3"/>
      <c r="K489" s="4"/>
    </row>
    <row r="490" spans="8:11" x14ac:dyDescent="0.25">
      <c r="H490" s="5"/>
      <c r="J490" s="3"/>
      <c r="K490" s="4"/>
    </row>
    <row r="491" spans="8:11" x14ac:dyDescent="0.25">
      <c r="H491" s="5"/>
      <c r="J491" s="3"/>
      <c r="K491" s="4"/>
    </row>
    <row r="492" spans="8:11" x14ac:dyDescent="0.25">
      <c r="H492" s="5"/>
      <c r="J492" s="3"/>
      <c r="K492" s="4"/>
    </row>
    <row r="493" spans="8:11" x14ac:dyDescent="0.25">
      <c r="H493" s="5"/>
      <c r="J493" s="3"/>
      <c r="K493" s="4"/>
    </row>
    <row r="494" spans="8:11" x14ac:dyDescent="0.25">
      <c r="H494" s="5"/>
      <c r="J494" s="3"/>
      <c r="K494" s="4"/>
    </row>
    <row r="495" spans="8:11" x14ac:dyDescent="0.25">
      <c r="H495" s="5"/>
      <c r="J495" s="3"/>
      <c r="K495" s="4"/>
    </row>
    <row r="496" spans="8:11" x14ac:dyDescent="0.25">
      <c r="H496" s="5"/>
      <c r="J496" s="3"/>
      <c r="K496" s="4"/>
    </row>
    <row r="497" spans="8:11" x14ac:dyDescent="0.25">
      <c r="H497" s="5"/>
      <c r="J497" s="3"/>
      <c r="K497" s="4"/>
    </row>
    <row r="498" spans="8:11" x14ac:dyDescent="0.25">
      <c r="H498" s="5"/>
      <c r="J498" s="3"/>
      <c r="K498" s="4"/>
    </row>
    <row r="499" spans="8:11" x14ac:dyDescent="0.25">
      <c r="H499" s="5"/>
      <c r="J499" s="3"/>
      <c r="K499" s="4"/>
    </row>
    <row r="500" spans="8:11" x14ac:dyDescent="0.25">
      <c r="H500" s="5"/>
      <c r="J500" s="3"/>
      <c r="K500" s="4"/>
    </row>
    <row r="501" spans="8:11" x14ac:dyDescent="0.25">
      <c r="H501" s="5"/>
      <c r="J501" s="3"/>
      <c r="K501" s="4"/>
    </row>
    <row r="502" spans="8:11" x14ac:dyDescent="0.25">
      <c r="H502" s="5"/>
      <c r="J502" s="3"/>
      <c r="K502" s="4"/>
    </row>
    <row r="503" spans="8:11" x14ac:dyDescent="0.25">
      <c r="H503" s="5"/>
      <c r="J503" s="3"/>
      <c r="K503" s="4"/>
    </row>
    <row r="504" spans="8:11" x14ac:dyDescent="0.25">
      <c r="H504" s="5"/>
      <c r="J504" s="3"/>
      <c r="K504" s="4"/>
    </row>
    <row r="505" spans="8:11" x14ac:dyDescent="0.25">
      <c r="H505" s="5"/>
      <c r="J505" s="3"/>
      <c r="K505" s="4"/>
    </row>
    <row r="506" spans="8:11" x14ac:dyDescent="0.25">
      <c r="H506" s="5"/>
      <c r="J506" s="3"/>
      <c r="K506" s="4"/>
    </row>
    <row r="507" spans="8:11" x14ac:dyDescent="0.25">
      <c r="H507" s="5"/>
      <c r="J507" s="3"/>
      <c r="K507" s="4"/>
    </row>
    <row r="508" spans="8:11" x14ac:dyDescent="0.25">
      <c r="H508" s="5"/>
      <c r="J508" s="3"/>
      <c r="K508" s="4"/>
    </row>
    <row r="509" spans="8:11" x14ac:dyDescent="0.25">
      <c r="H509" s="5"/>
      <c r="J509" s="3"/>
      <c r="K509" s="4"/>
    </row>
    <row r="510" spans="8:11" x14ac:dyDescent="0.25">
      <c r="H510" s="5"/>
      <c r="J510" s="3"/>
      <c r="K510" s="4"/>
    </row>
    <row r="511" spans="8:11" x14ac:dyDescent="0.25">
      <c r="H511" s="5"/>
      <c r="J511" s="3"/>
      <c r="K511" s="4"/>
    </row>
    <row r="512" spans="8:11" x14ac:dyDescent="0.25">
      <c r="H512" s="5"/>
      <c r="J512" s="3"/>
      <c r="K512" s="4"/>
    </row>
    <row r="513" spans="8:11" x14ac:dyDescent="0.25">
      <c r="H513" s="5"/>
      <c r="J513" s="3"/>
      <c r="K513" s="4"/>
    </row>
    <row r="514" spans="8:11" x14ac:dyDescent="0.25">
      <c r="H514" s="5"/>
      <c r="J514" s="3"/>
      <c r="K514" s="4"/>
    </row>
    <row r="515" spans="8:11" x14ac:dyDescent="0.25">
      <c r="H515" s="5"/>
      <c r="J515" s="3"/>
      <c r="K515" s="4"/>
    </row>
    <row r="516" spans="8:11" x14ac:dyDescent="0.25">
      <c r="H516" s="5"/>
      <c r="J516" s="3"/>
      <c r="K516" s="4"/>
    </row>
    <row r="517" spans="8:11" x14ac:dyDescent="0.25">
      <c r="H517" s="5"/>
      <c r="J517" s="3"/>
      <c r="K517" s="4"/>
    </row>
    <row r="518" spans="8:11" x14ac:dyDescent="0.25">
      <c r="H518" s="5"/>
      <c r="J518" s="3"/>
      <c r="K518" s="4"/>
    </row>
    <row r="519" spans="8:11" x14ac:dyDescent="0.25">
      <c r="H519" s="5"/>
      <c r="J519" s="3"/>
      <c r="K519" s="4"/>
    </row>
    <row r="520" spans="8:11" x14ac:dyDescent="0.25">
      <c r="H520" s="5"/>
      <c r="J520" s="3"/>
      <c r="K520" s="4"/>
    </row>
    <row r="521" spans="8:11" x14ac:dyDescent="0.25">
      <c r="H521" s="5"/>
      <c r="J521" s="3"/>
      <c r="K521" s="4"/>
    </row>
    <row r="522" spans="8:11" x14ac:dyDescent="0.25">
      <c r="H522" s="5"/>
      <c r="J522" s="3"/>
      <c r="K522" s="4"/>
    </row>
    <row r="523" spans="8:11" x14ac:dyDescent="0.25">
      <c r="H523" s="5"/>
      <c r="J523" s="3"/>
      <c r="K523" s="4"/>
    </row>
    <row r="524" spans="8:11" x14ac:dyDescent="0.25">
      <c r="H524" s="5"/>
      <c r="J524" s="3"/>
      <c r="K524" s="4"/>
    </row>
    <row r="525" spans="8:11" x14ac:dyDescent="0.25">
      <c r="H525" s="5"/>
      <c r="J525" s="3"/>
      <c r="K525" s="4"/>
    </row>
    <row r="526" spans="8:11" x14ac:dyDescent="0.25">
      <c r="H526" s="5"/>
      <c r="J526" s="3"/>
      <c r="K526" s="4"/>
    </row>
    <row r="527" spans="8:11" x14ac:dyDescent="0.25">
      <c r="H527" s="5"/>
      <c r="J527" s="3"/>
      <c r="K527" s="4"/>
    </row>
    <row r="528" spans="8:11" x14ac:dyDescent="0.25">
      <c r="H528" s="5"/>
      <c r="J528" s="3"/>
      <c r="K528" s="4"/>
    </row>
    <row r="529" spans="8:11" x14ac:dyDescent="0.25">
      <c r="H529" s="5"/>
      <c r="J529" s="3"/>
      <c r="K529" s="4"/>
    </row>
    <row r="530" spans="8:11" x14ac:dyDescent="0.25">
      <c r="H530" s="5"/>
      <c r="J530" s="3"/>
      <c r="K530" s="4"/>
    </row>
    <row r="531" spans="8:11" x14ac:dyDescent="0.25">
      <c r="H531" s="5"/>
      <c r="J531" s="3"/>
      <c r="K531" s="4"/>
    </row>
    <row r="532" spans="8:11" x14ac:dyDescent="0.25">
      <c r="H532" s="5"/>
      <c r="J532" s="3"/>
      <c r="K532" s="4"/>
    </row>
    <row r="533" spans="8:11" x14ac:dyDescent="0.25">
      <c r="H533" s="5"/>
      <c r="J533" s="3"/>
      <c r="K533" s="4"/>
    </row>
    <row r="534" spans="8:11" x14ac:dyDescent="0.25">
      <c r="H534" s="5"/>
      <c r="J534" s="3"/>
      <c r="K534" s="4"/>
    </row>
    <row r="535" spans="8:11" x14ac:dyDescent="0.25">
      <c r="H535" s="5"/>
      <c r="J535" s="3"/>
      <c r="K535" s="4"/>
    </row>
    <row r="536" spans="8:11" x14ac:dyDescent="0.25">
      <c r="H536" s="5"/>
      <c r="J536" s="3"/>
      <c r="K536" s="4"/>
    </row>
    <row r="537" spans="8:11" x14ac:dyDescent="0.25">
      <c r="H537" s="5"/>
      <c r="J537" s="3"/>
      <c r="K537" s="4"/>
    </row>
    <row r="538" spans="8:11" x14ac:dyDescent="0.25">
      <c r="H538" s="5"/>
      <c r="J538" s="3"/>
      <c r="K538" s="4"/>
    </row>
    <row r="539" spans="8:11" x14ac:dyDescent="0.25">
      <c r="H539" s="5"/>
      <c r="J539" s="3"/>
      <c r="K539" s="4"/>
    </row>
    <row r="540" spans="8:11" x14ac:dyDescent="0.25">
      <c r="H540" s="5"/>
      <c r="J540" s="3"/>
      <c r="K540" s="4"/>
    </row>
    <row r="541" spans="8:11" x14ac:dyDescent="0.25">
      <c r="H541" s="5"/>
      <c r="J541" s="3"/>
      <c r="K541" s="4"/>
    </row>
    <row r="542" spans="8:11" x14ac:dyDescent="0.25">
      <c r="H542" s="5"/>
      <c r="J542" s="3"/>
      <c r="K542" s="4"/>
    </row>
    <row r="543" spans="8:11" x14ac:dyDescent="0.25">
      <c r="H543" s="5"/>
      <c r="J543" s="3"/>
      <c r="K543" s="4"/>
    </row>
    <row r="544" spans="8:11" x14ac:dyDescent="0.25">
      <c r="H544" s="5"/>
      <c r="J544" s="3"/>
      <c r="K544" s="4"/>
    </row>
    <row r="545" spans="8:11" x14ac:dyDescent="0.25">
      <c r="H545" s="5"/>
      <c r="J545" s="3"/>
      <c r="K545" s="4"/>
    </row>
    <row r="546" spans="8:11" x14ac:dyDescent="0.25">
      <c r="H546" s="5"/>
      <c r="J546" s="3"/>
      <c r="K546" s="4"/>
    </row>
    <row r="547" spans="8:11" x14ac:dyDescent="0.25">
      <c r="H547" s="5"/>
      <c r="J547" s="3"/>
      <c r="K547" s="4"/>
    </row>
    <row r="548" spans="8:11" x14ac:dyDescent="0.25">
      <c r="H548" s="5"/>
      <c r="J548" s="3"/>
      <c r="K548" s="4"/>
    </row>
    <row r="549" spans="8:11" x14ac:dyDescent="0.25">
      <c r="H549" s="5"/>
      <c r="J549" s="3"/>
      <c r="K549" s="4"/>
    </row>
    <row r="550" spans="8:11" x14ac:dyDescent="0.25">
      <c r="H550" s="5"/>
      <c r="J550" s="3"/>
      <c r="K550" s="4"/>
    </row>
    <row r="551" spans="8:11" x14ac:dyDescent="0.25">
      <c r="H551" s="5"/>
      <c r="J551" s="3"/>
      <c r="K551" s="4"/>
    </row>
    <row r="552" spans="8:11" x14ac:dyDescent="0.25">
      <c r="H552" s="5"/>
      <c r="J552" s="3"/>
      <c r="K552" s="4"/>
    </row>
    <row r="553" spans="8:11" x14ac:dyDescent="0.25">
      <c r="H553" s="5"/>
      <c r="J553" s="3"/>
      <c r="K553" s="4"/>
    </row>
    <row r="554" spans="8:11" x14ac:dyDescent="0.25">
      <c r="H554" s="5"/>
      <c r="J554" s="3"/>
      <c r="K554" s="4"/>
    </row>
    <row r="555" spans="8:11" x14ac:dyDescent="0.25">
      <c r="H555" s="5"/>
      <c r="J555" s="3"/>
      <c r="K555" s="4"/>
    </row>
    <row r="556" spans="8:11" x14ac:dyDescent="0.25">
      <c r="H556" s="5"/>
      <c r="J556" s="3"/>
      <c r="K556" s="4"/>
    </row>
    <row r="557" spans="8:11" x14ac:dyDescent="0.25">
      <c r="H557" s="5"/>
      <c r="J557" s="3"/>
      <c r="K557" s="4"/>
    </row>
    <row r="558" spans="8:11" x14ac:dyDescent="0.25">
      <c r="H558" s="5"/>
      <c r="J558" s="3"/>
      <c r="K558" s="4"/>
    </row>
    <row r="559" spans="8:11" x14ac:dyDescent="0.25">
      <c r="H559" s="5"/>
      <c r="J559" s="3"/>
      <c r="K559" s="4"/>
    </row>
    <row r="560" spans="8:11" x14ac:dyDescent="0.25">
      <c r="H560" s="5"/>
      <c r="J560" s="3"/>
      <c r="K560" s="4"/>
    </row>
    <row r="561" spans="8:11" x14ac:dyDescent="0.25">
      <c r="H561" s="5"/>
      <c r="J561" s="3"/>
      <c r="K561" s="4"/>
    </row>
    <row r="562" spans="8:11" x14ac:dyDescent="0.25">
      <c r="H562" s="5"/>
      <c r="J562" s="3"/>
      <c r="K562" s="4"/>
    </row>
    <row r="563" spans="8:11" x14ac:dyDescent="0.25">
      <c r="H563" s="5"/>
      <c r="J563" s="3"/>
      <c r="K563" s="4"/>
    </row>
    <row r="564" spans="8:11" x14ac:dyDescent="0.25">
      <c r="H564" s="5"/>
      <c r="J564" s="3"/>
      <c r="K564" s="4"/>
    </row>
    <row r="565" spans="8:11" x14ac:dyDescent="0.25">
      <c r="H565" s="5"/>
      <c r="J565" s="3"/>
      <c r="K565" s="4"/>
    </row>
    <row r="566" spans="8:11" x14ac:dyDescent="0.25">
      <c r="H566" s="5"/>
      <c r="J566" s="3"/>
      <c r="K566" s="4"/>
    </row>
    <row r="567" spans="8:11" x14ac:dyDescent="0.25">
      <c r="H567" s="5"/>
      <c r="J567" s="3"/>
      <c r="K567" s="4"/>
    </row>
    <row r="568" spans="8:11" x14ac:dyDescent="0.25">
      <c r="H568" s="5"/>
      <c r="J568" s="3"/>
      <c r="K568" s="4"/>
    </row>
    <row r="569" spans="8:11" x14ac:dyDescent="0.25">
      <c r="H569" s="5"/>
      <c r="J569" s="3"/>
      <c r="K569" s="4"/>
    </row>
    <row r="570" spans="8:11" x14ac:dyDescent="0.25">
      <c r="H570" s="5"/>
      <c r="J570" s="3"/>
      <c r="K570" s="4"/>
    </row>
    <row r="571" spans="8:11" x14ac:dyDescent="0.25">
      <c r="H571" s="5"/>
      <c r="J571" s="3"/>
      <c r="K571" s="4"/>
    </row>
    <row r="572" spans="8:11" x14ac:dyDescent="0.25">
      <c r="H572" s="5"/>
      <c r="J572" s="3"/>
      <c r="K572" s="4"/>
    </row>
    <row r="573" spans="8:11" x14ac:dyDescent="0.25">
      <c r="H573" s="5"/>
      <c r="J573" s="3"/>
      <c r="K573" s="4"/>
    </row>
    <row r="574" spans="8:11" x14ac:dyDescent="0.25">
      <c r="H574" s="5"/>
      <c r="J574" s="3"/>
      <c r="K574" s="4"/>
    </row>
    <row r="575" spans="8:11" x14ac:dyDescent="0.25">
      <c r="H575" s="5"/>
      <c r="J575" s="3"/>
      <c r="K575" s="4"/>
    </row>
    <row r="576" spans="8:11" x14ac:dyDescent="0.25">
      <c r="H576" s="5"/>
      <c r="J576" s="3"/>
      <c r="K576" s="4"/>
    </row>
    <row r="577" spans="8:11" x14ac:dyDescent="0.25">
      <c r="H577" s="5"/>
      <c r="J577" s="3"/>
      <c r="K577" s="4"/>
    </row>
    <row r="578" spans="8:11" x14ac:dyDescent="0.25">
      <c r="H578" s="5"/>
      <c r="J578" s="3"/>
      <c r="K578" s="4"/>
    </row>
    <row r="579" spans="8:11" x14ac:dyDescent="0.25">
      <c r="H579" s="5"/>
      <c r="J579" s="3"/>
      <c r="K579" s="4"/>
    </row>
    <row r="580" spans="8:11" x14ac:dyDescent="0.25">
      <c r="H580" s="5"/>
      <c r="J580" s="3"/>
      <c r="K580" s="4"/>
    </row>
    <row r="581" spans="8:11" x14ac:dyDescent="0.25">
      <c r="H581" s="5"/>
      <c r="J581" s="3"/>
      <c r="K581" s="4"/>
    </row>
    <row r="582" spans="8:11" x14ac:dyDescent="0.25">
      <c r="H582" s="5"/>
      <c r="J582" s="3"/>
      <c r="K582" s="4"/>
    </row>
    <row r="583" spans="8:11" x14ac:dyDescent="0.25">
      <c r="H583" s="5"/>
      <c r="J583" s="3"/>
      <c r="K583" s="4"/>
    </row>
    <row r="584" spans="8:11" x14ac:dyDescent="0.25">
      <c r="H584" s="5"/>
      <c r="J584" s="3"/>
      <c r="K584" s="4"/>
    </row>
    <row r="585" spans="8:11" x14ac:dyDescent="0.25">
      <c r="H585" s="5"/>
      <c r="J585" s="3"/>
      <c r="K585" s="4"/>
    </row>
    <row r="586" spans="8:11" x14ac:dyDescent="0.25">
      <c r="H586" s="5"/>
      <c r="J586" s="3"/>
      <c r="K586" s="4"/>
    </row>
    <row r="587" spans="8:11" x14ac:dyDescent="0.25">
      <c r="H587" s="5"/>
      <c r="J587" s="3"/>
      <c r="K587" s="4"/>
    </row>
    <row r="588" spans="8:11" x14ac:dyDescent="0.25">
      <c r="H588" s="5"/>
      <c r="J588" s="3"/>
      <c r="K588" s="4"/>
    </row>
    <row r="589" spans="8:11" x14ac:dyDescent="0.25">
      <c r="H589" s="5"/>
      <c r="J589" s="3"/>
      <c r="K589" s="4"/>
    </row>
    <row r="590" spans="8:11" x14ac:dyDescent="0.25">
      <c r="H590" s="5"/>
      <c r="J590" s="3"/>
      <c r="K590" s="4"/>
    </row>
    <row r="591" spans="8:11" x14ac:dyDescent="0.25">
      <c r="H591" s="5"/>
      <c r="J591" s="3"/>
      <c r="K591" s="4"/>
    </row>
    <row r="592" spans="8:11" x14ac:dyDescent="0.25">
      <c r="H592" s="5"/>
      <c r="J592" s="3"/>
      <c r="K592" s="4"/>
    </row>
    <row r="593" spans="8:11" x14ac:dyDescent="0.25">
      <c r="H593" s="5"/>
      <c r="J593" s="3"/>
      <c r="K593" s="4"/>
    </row>
    <row r="594" spans="8:11" x14ac:dyDescent="0.25">
      <c r="H594" s="5"/>
      <c r="J594" s="3"/>
      <c r="K594" s="4"/>
    </row>
    <row r="595" spans="8:11" x14ac:dyDescent="0.25">
      <c r="H595" s="5"/>
      <c r="J595" s="3"/>
      <c r="K595" s="4"/>
    </row>
    <row r="596" spans="8:11" x14ac:dyDescent="0.25">
      <c r="H596" s="5"/>
      <c r="J596" s="3"/>
      <c r="K596" s="4"/>
    </row>
    <row r="597" spans="8:11" x14ac:dyDescent="0.25">
      <c r="H597" s="5"/>
      <c r="J597" s="3"/>
      <c r="K597" s="4"/>
    </row>
    <row r="598" spans="8:11" x14ac:dyDescent="0.25">
      <c r="H598" s="5"/>
      <c r="J598" s="3"/>
      <c r="K598" s="4"/>
    </row>
    <row r="599" spans="8:11" x14ac:dyDescent="0.25">
      <c r="H599" s="5"/>
      <c r="J599" s="3"/>
      <c r="K599" s="4"/>
    </row>
    <row r="600" spans="8:11" x14ac:dyDescent="0.25">
      <c r="H600" s="5"/>
      <c r="J600" s="3"/>
      <c r="K600" s="4"/>
    </row>
    <row r="601" spans="8:11" x14ac:dyDescent="0.25">
      <c r="H601" s="5"/>
      <c r="J601" s="3"/>
      <c r="K601" s="4"/>
    </row>
    <row r="602" spans="8:11" x14ac:dyDescent="0.25">
      <c r="H602" s="5"/>
      <c r="J602" s="3"/>
      <c r="K602" s="4"/>
    </row>
    <row r="603" spans="8:11" x14ac:dyDescent="0.25">
      <c r="H603" s="5"/>
      <c r="J603" s="3"/>
      <c r="K603" s="4"/>
    </row>
    <row r="604" spans="8:11" x14ac:dyDescent="0.25">
      <c r="H604" s="5"/>
      <c r="J604" s="3"/>
      <c r="K604" s="4"/>
    </row>
    <row r="605" spans="8:11" x14ac:dyDescent="0.25">
      <c r="H605" s="5"/>
      <c r="J605" s="3"/>
      <c r="K605" s="4"/>
    </row>
    <row r="606" spans="8:11" x14ac:dyDescent="0.25">
      <c r="H606" s="5"/>
      <c r="J606" s="3"/>
      <c r="K606" s="4"/>
    </row>
    <row r="607" spans="8:11" x14ac:dyDescent="0.25">
      <c r="H607" s="5"/>
      <c r="J607" s="3"/>
      <c r="K607" s="4"/>
    </row>
    <row r="608" spans="8:11" x14ac:dyDescent="0.25">
      <c r="H608" s="5"/>
      <c r="J608" s="3"/>
      <c r="K608" s="4"/>
    </row>
    <row r="609" spans="8:11" x14ac:dyDescent="0.25">
      <c r="H609" s="5"/>
      <c r="J609" s="3"/>
      <c r="K609" s="4"/>
    </row>
    <row r="610" spans="8:11" x14ac:dyDescent="0.25">
      <c r="H610" s="5"/>
      <c r="J610" s="3"/>
      <c r="K610" s="4"/>
    </row>
    <row r="611" spans="8:11" x14ac:dyDescent="0.25">
      <c r="H611" s="5"/>
      <c r="J611" s="3"/>
      <c r="K611" s="4"/>
    </row>
    <row r="612" spans="8:11" x14ac:dyDescent="0.25">
      <c r="H612" s="5"/>
      <c r="J612" s="3"/>
      <c r="K612" s="4"/>
    </row>
    <row r="613" spans="8:11" x14ac:dyDescent="0.25">
      <c r="H613" s="5"/>
      <c r="J613" s="3"/>
      <c r="K613" s="4"/>
    </row>
    <row r="614" spans="8:11" x14ac:dyDescent="0.25">
      <c r="H614" s="5"/>
      <c r="J614" s="3"/>
      <c r="K614" s="4"/>
    </row>
    <row r="615" spans="8:11" x14ac:dyDescent="0.25">
      <c r="H615" s="5"/>
      <c r="J615" s="3"/>
      <c r="K615" s="4"/>
    </row>
    <row r="616" spans="8:11" x14ac:dyDescent="0.25">
      <c r="H616" s="5"/>
      <c r="J616" s="3"/>
      <c r="K616" s="4"/>
    </row>
    <row r="617" spans="8:11" x14ac:dyDescent="0.25">
      <c r="H617" s="5"/>
      <c r="J617" s="3"/>
      <c r="K617" s="4"/>
    </row>
    <row r="618" spans="8:11" x14ac:dyDescent="0.25">
      <c r="H618" s="5"/>
      <c r="J618" s="3"/>
      <c r="K618" s="4"/>
    </row>
    <row r="619" spans="8:11" x14ac:dyDescent="0.25">
      <c r="H619" s="5"/>
      <c r="J619" s="3"/>
      <c r="K619" s="4"/>
    </row>
    <row r="620" spans="8:11" x14ac:dyDescent="0.25">
      <c r="H620" s="5"/>
      <c r="J620" s="3"/>
      <c r="K620" s="4"/>
    </row>
    <row r="621" spans="8:11" x14ac:dyDescent="0.25">
      <c r="H621" s="5"/>
      <c r="J621" s="3"/>
      <c r="K621" s="4"/>
    </row>
    <row r="622" spans="8:11" x14ac:dyDescent="0.25">
      <c r="H622" s="5"/>
      <c r="J622" s="3"/>
      <c r="K622" s="4"/>
    </row>
    <row r="623" spans="8:11" x14ac:dyDescent="0.25">
      <c r="H623" s="5"/>
      <c r="J623" s="3"/>
      <c r="K623" s="4"/>
    </row>
    <row r="624" spans="8:11" x14ac:dyDescent="0.25">
      <c r="H624" s="5"/>
      <c r="J624" s="3"/>
      <c r="K624" s="4"/>
    </row>
    <row r="625" spans="8:11" x14ac:dyDescent="0.25">
      <c r="H625" s="5"/>
      <c r="J625" s="3"/>
      <c r="K625" s="4"/>
    </row>
    <row r="626" spans="8:11" x14ac:dyDescent="0.25">
      <c r="H626" s="5"/>
      <c r="J626" s="3"/>
      <c r="K626" s="4"/>
    </row>
    <row r="627" spans="8:11" x14ac:dyDescent="0.25">
      <c r="H627" s="5"/>
      <c r="J627" s="3"/>
      <c r="K627" s="4"/>
    </row>
    <row r="628" spans="8:11" x14ac:dyDescent="0.25">
      <c r="H628" s="5"/>
      <c r="J628" s="3"/>
      <c r="K628" s="4"/>
    </row>
    <row r="629" spans="8:11" x14ac:dyDescent="0.25">
      <c r="H629" s="5"/>
      <c r="J629" s="3"/>
      <c r="K629" s="4"/>
    </row>
    <row r="630" spans="8:11" x14ac:dyDescent="0.25">
      <c r="H630" s="5"/>
      <c r="J630" s="3"/>
      <c r="K630" s="4"/>
    </row>
    <row r="631" spans="8:11" x14ac:dyDescent="0.25">
      <c r="H631" s="5"/>
      <c r="J631" s="3"/>
      <c r="K631" s="4"/>
    </row>
    <row r="632" spans="8:11" x14ac:dyDescent="0.25">
      <c r="H632" s="5"/>
      <c r="J632" s="3"/>
      <c r="K632" s="4"/>
    </row>
    <row r="633" spans="8:11" x14ac:dyDescent="0.25">
      <c r="H633" s="5"/>
      <c r="J633" s="3"/>
      <c r="K633" s="4"/>
    </row>
    <row r="634" spans="8:11" x14ac:dyDescent="0.25">
      <c r="H634" s="5"/>
      <c r="J634" s="3"/>
      <c r="K634" s="4"/>
    </row>
    <row r="635" spans="8:11" x14ac:dyDescent="0.25">
      <c r="H635" s="5"/>
      <c r="J635" s="3"/>
      <c r="K635" s="4"/>
    </row>
    <row r="636" spans="8:11" x14ac:dyDescent="0.25">
      <c r="H636" s="5"/>
      <c r="J636" s="3"/>
      <c r="K636" s="4"/>
    </row>
    <row r="637" spans="8:11" x14ac:dyDescent="0.25">
      <c r="H637" s="5"/>
      <c r="J637" s="3"/>
      <c r="K637" s="4"/>
    </row>
    <row r="638" spans="8:11" x14ac:dyDescent="0.25">
      <c r="H638" s="5"/>
      <c r="J638" s="3"/>
      <c r="K638" s="4"/>
    </row>
    <row r="639" spans="8:11" x14ac:dyDescent="0.25">
      <c r="H639" s="5"/>
      <c r="J639" s="3"/>
      <c r="K639" s="4"/>
    </row>
    <row r="640" spans="8:11" x14ac:dyDescent="0.25">
      <c r="H640" s="5"/>
      <c r="J640" s="3"/>
      <c r="K640" s="4"/>
    </row>
    <row r="641" spans="8:11" x14ac:dyDescent="0.25">
      <c r="H641" s="5"/>
      <c r="J641" s="3"/>
      <c r="K641" s="4"/>
    </row>
    <row r="642" spans="8:11" x14ac:dyDescent="0.25">
      <c r="H642" s="5"/>
      <c r="J642" s="3"/>
      <c r="K642" s="4"/>
    </row>
    <row r="643" spans="8:11" x14ac:dyDescent="0.25">
      <c r="H643" s="5"/>
      <c r="J643" s="3"/>
      <c r="K643" s="4"/>
    </row>
    <row r="644" spans="8:11" x14ac:dyDescent="0.25">
      <c r="H644" s="5"/>
      <c r="J644" s="3"/>
      <c r="K644" s="4"/>
    </row>
    <row r="645" spans="8:11" x14ac:dyDescent="0.25">
      <c r="H645" s="5"/>
      <c r="J645" s="3"/>
      <c r="K645" s="4"/>
    </row>
    <row r="646" spans="8:11" x14ac:dyDescent="0.25">
      <c r="H646" s="5"/>
      <c r="J646" s="3"/>
      <c r="K646" s="4"/>
    </row>
    <row r="647" spans="8:11" x14ac:dyDescent="0.25">
      <c r="H647" s="5"/>
      <c r="J647" s="3"/>
      <c r="K647" s="4"/>
    </row>
    <row r="648" spans="8:11" x14ac:dyDescent="0.25">
      <c r="H648" s="5"/>
      <c r="J648" s="3"/>
      <c r="K648" s="4"/>
    </row>
    <row r="649" spans="8:11" x14ac:dyDescent="0.25">
      <c r="H649" s="5"/>
      <c r="J649" s="3"/>
      <c r="K649" s="4"/>
    </row>
    <row r="650" spans="8:11" x14ac:dyDescent="0.25">
      <c r="H650" s="5"/>
      <c r="J650" s="3"/>
      <c r="K650" s="4"/>
    </row>
    <row r="651" spans="8:11" x14ac:dyDescent="0.25">
      <c r="H651" s="5"/>
      <c r="J651" s="3"/>
      <c r="K651" s="4"/>
    </row>
    <row r="652" spans="8:11" x14ac:dyDescent="0.25">
      <c r="H652" s="5"/>
      <c r="J652" s="3"/>
      <c r="K652" s="4"/>
    </row>
    <row r="653" spans="8:11" x14ac:dyDescent="0.25">
      <c r="H653" s="5"/>
      <c r="J653" s="3"/>
      <c r="K653" s="4"/>
    </row>
    <row r="654" spans="8:11" x14ac:dyDescent="0.25">
      <c r="H654" s="5"/>
      <c r="J654" s="3"/>
      <c r="K654" s="4"/>
    </row>
    <row r="655" spans="8:11" x14ac:dyDescent="0.25">
      <c r="H655" s="5"/>
      <c r="J655" s="3"/>
      <c r="K655" s="4"/>
    </row>
    <row r="656" spans="8:11" x14ac:dyDescent="0.25">
      <c r="H656" s="5"/>
      <c r="J656" s="3"/>
      <c r="K656" s="4"/>
    </row>
    <row r="657" spans="8:11" x14ac:dyDescent="0.25">
      <c r="H657" s="5"/>
      <c r="J657" s="3"/>
      <c r="K657" s="4"/>
    </row>
    <row r="658" spans="8:11" x14ac:dyDescent="0.25">
      <c r="H658" s="5"/>
      <c r="J658" s="3"/>
      <c r="K658" s="4"/>
    </row>
    <row r="659" spans="8:11" x14ac:dyDescent="0.25">
      <c r="H659" s="5"/>
      <c r="J659" s="3"/>
      <c r="K659" s="4"/>
    </row>
    <row r="660" spans="8:11" x14ac:dyDescent="0.25">
      <c r="H660" s="5"/>
      <c r="J660" s="3"/>
      <c r="K660" s="4"/>
    </row>
    <row r="661" spans="8:11" x14ac:dyDescent="0.25">
      <c r="H661" s="5"/>
      <c r="J661" s="3"/>
      <c r="K661" s="4"/>
    </row>
    <row r="662" spans="8:11" x14ac:dyDescent="0.25">
      <c r="H662" s="5"/>
      <c r="J662" s="3"/>
      <c r="K662" s="4"/>
    </row>
    <row r="663" spans="8:11" x14ac:dyDescent="0.25">
      <c r="H663" s="5"/>
      <c r="J663" s="3"/>
      <c r="K663" s="4"/>
    </row>
    <row r="664" spans="8:11" x14ac:dyDescent="0.25">
      <c r="H664" s="5"/>
      <c r="J664" s="3"/>
      <c r="K664" s="4"/>
    </row>
    <row r="665" spans="8:11" x14ac:dyDescent="0.25">
      <c r="H665" s="5"/>
      <c r="J665" s="3"/>
      <c r="K665" s="4"/>
    </row>
    <row r="666" spans="8:11" x14ac:dyDescent="0.25">
      <c r="H666" s="5"/>
      <c r="J666" s="3"/>
      <c r="K666" s="4"/>
    </row>
    <row r="667" spans="8:11" x14ac:dyDescent="0.25">
      <c r="H667" s="5"/>
      <c r="J667" s="3"/>
      <c r="K667" s="4"/>
    </row>
    <row r="668" spans="8:11" x14ac:dyDescent="0.25">
      <c r="H668" s="5"/>
      <c r="J668" s="3"/>
      <c r="K668" s="4"/>
    </row>
    <row r="669" spans="8:11" x14ac:dyDescent="0.25">
      <c r="H669" s="5"/>
      <c r="J669" s="3"/>
      <c r="K669" s="4"/>
    </row>
    <row r="670" spans="8:11" x14ac:dyDescent="0.25">
      <c r="H670" s="5"/>
      <c r="J670" s="3"/>
      <c r="K670" s="4"/>
    </row>
    <row r="671" spans="8:11" x14ac:dyDescent="0.25">
      <c r="H671" s="5"/>
      <c r="J671" s="3"/>
      <c r="K671" s="4"/>
    </row>
    <row r="672" spans="8:11" x14ac:dyDescent="0.25">
      <c r="H672" s="5"/>
      <c r="J672" s="3"/>
      <c r="K672" s="4"/>
    </row>
    <row r="673" spans="8:11" x14ac:dyDescent="0.25">
      <c r="H673" s="5"/>
      <c r="J673" s="3"/>
      <c r="K673" s="4"/>
    </row>
    <row r="674" spans="8:11" x14ac:dyDescent="0.25">
      <c r="H674" s="5"/>
      <c r="J674" s="3"/>
      <c r="K674" s="4"/>
    </row>
    <row r="675" spans="8:11" x14ac:dyDescent="0.25">
      <c r="H675" s="5"/>
      <c r="J675" s="3"/>
      <c r="K675" s="4"/>
    </row>
    <row r="676" spans="8:11" x14ac:dyDescent="0.25">
      <c r="H676" s="5"/>
      <c r="J676" s="3"/>
      <c r="K676" s="4"/>
    </row>
    <row r="677" spans="8:11" x14ac:dyDescent="0.25">
      <c r="H677" s="5"/>
      <c r="J677" s="3"/>
      <c r="K677" s="4"/>
    </row>
    <row r="678" spans="8:11" x14ac:dyDescent="0.25">
      <c r="H678" s="5"/>
      <c r="J678" s="3"/>
      <c r="K678" s="4"/>
    </row>
    <row r="679" spans="8:11" x14ac:dyDescent="0.25">
      <c r="H679" s="5"/>
      <c r="J679" s="3"/>
      <c r="K679" s="4"/>
    </row>
    <row r="680" spans="8:11" x14ac:dyDescent="0.25">
      <c r="H680" s="5"/>
      <c r="J680" s="3"/>
      <c r="K680" s="4"/>
    </row>
    <row r="681" spans="8:11" x14ac:dyDescent="0.25">
      <c r="H681" s="5"/>
      <c r="J681" s="3"/>
      <c r="K681" s="4"/>
    </row>
    <row r="682" spans="8:11" x14ac:dyDescent="0.25">
      <c r="H682" s="5"/>
      <c r="J682" s="3"/>
      <c r="K682" s="4"/>
    </row>
    <row r="683" spans="8:11" x14ac:dyDescent="0.25">
      <c r="H683" s="5"/>
      <c r="J683" s="3"/>
      <c r="K683" s="4"/>
    </row>
    <row r="684" spans="8:11" x14ac:dyDescent="0.25">
      <c r="H684" s="5"/>
      <c r="J684" s="3"/>
      <c r="K684" s="4"/>
    </row>
    <row r="685" spans="8:11" x14ac:dyDescent="0.25">
      <c r="H685" s="5"/>
      <c r="J685" s="3"/>
      <c r="K685" s="4"/>
    </row>
    <row r="686" spans="8:11" x14ac:dyDescent="0.25">
      <c r="H686" s="5"/>
      <c r="J686" s="3"/>
      <c r="K686" s="4"/>
    </row>
    <row r="687" spans="8:11" x14ac:dyDescent="0.25">
      <c r="H687" s="5"/>
      <c r="J687" s="3"/>
      <c r="K687" s="4"/>
    </row>
    <row r="688" spans="8:11" x14ac:dyDescent="0.25">
      <c r="H688" s="5"/>
      <c r="J688" s="3"/>
      <c r="K688" s="4"/>
    </row>
    <row r="689" spans="8:11" x14ac:dyDescent="0.25">
      <c r="H689" s="5"/>
      <c r="J689" s="3"/>
      <c r="K689" s="4"/>
    </row>
    <row r="690" spans="8:11" x14ac:dyDescent="0.25">
      <c r="H690" s="5"/>
      <c r="J690" s="3"/>
      <c r="K690" s="4"/>
    </row>
    <row r="691" spans="8:11" x14ac:dyDescent="0.25">
      <c r="H691" s="5"/>
      <c r="J691" s="3"/>
      <c r="K691" s="4"/>
    </row>
    <row r="692" spans="8:11" x14ac:dyDescent="0.25">
      <c r="H692" s="5"/>
      <c r="J692" s="3"/>
      <c r="K692" s="4"/>
    </row>
    <row r="693" spans="8:11" x14ac:dyDescent="0.25">
      <c r="H693" s="5"/>
      <c r="J693" s="3"/>
      <c r="K693" s="4"/>
    </row>
    <row r="694" spans="8:11" x14ac:dyDescent="0.25">
      <c r="H694" s="5"/>
      <c r="J694" s="3"/>
      <c r="K694" s="4"/>
    </row>
    <row r="695" spans="8:11" x14ac:dyDescent="0.25">
      <c r="H695" s="5"/>
      <c r="J695" s="3"/>
      <c r="K695" s="4"/>
    </row>
    <row r="696" spans="8:11" x14ac:dyDescent="0.25">
      <c r="H696" s="5"/>
      <c r="J696" s="3"/>
      <c r="K696" s="4"/>
    </row>
    <row r="697" spans="8:11" x14ac:dyDescent="0.25">
      <c r="H697" s="5"/>
      <c r="J697" s="3"/>
      <c r="K697" s="4"/>
    </row>
    <row r="698" spans="8:11" x14ac:dyDescent="0.25">
      <c r="H698" s="5"/>
      <c r="J698" s="3"/>
      <c r="K698" s="4"/>
    </row>
    <row r="699" spans="8:11" x14ac:dyDescent="0.25">
      <c r="H699" s="5"/>
      <c r="J699" s="3"/>
      <c r="K699" s="4"/>
    </row>
    <row r="700" spans="8:11" x14ac:dyDescent="0.25">
      <c r="H700" s="5"/>
      <c r="J700" s="3"/>
      <c r="K700" s="4"/>
    </row>
    <row r="701" spans="8:11" x14ac:dyDescent="0.25">
      <c r="H701" s="5"/>
      <c r="J701" s="3"/>
      <c r="K701" s="4"/>
    </row>
    <row r="702" spans="8:11" x14ac:dyDescent="0.25">
      <c r="H702" s="5"/>
      <c r="J702" s="3"/>
      <c r="K702" s="4"/>
    </row>
    <row r="703" spans="8:11" x14ac:dyDescent="0.25">
      <c r="H703" s="5"/>
      <c r="J703" s="3"/>
      <c r="K703" s="4"/>
    </row>
    <row r="704" spans="8:11" x14ac:dyDescent="0.25">
      <c r="H704" s="5"/>
      <c r="J704" s="3"/>
      <c r="K704" s="4"/>
    </row>
    <row r="705" spans="8:11" x14ac:dyDescent="0.25">
      <c r="H705" s="5"/>
      <c r="J705" s="3"/>
      <c r="K705" s="4"/>
    </row>
    <row r="706" spans="8:11" x14ac:dyDescent="0.25">
      <c r="H706" s="5"/>
      <c r="J706" s="3"/>
      <c r="K706" s="4"/>
    </row>
    <row r="707" spans="8:11" x14ac:dyDescent="0.25">
      <c r="H707" s="5"/>
      <c r="J707" s="3"/>
      <c r="K707" s="4"/>
    </row>
    <row r="708" spans="8:11" x14ac:dyDescent="0.25">
      <c r="H708" s="5"/>
      <c r="J708" s="3"/>
      <c r="K708" s="4"/>
    </row>
    <row r="709" spans="8:11" x14ac:dyDescent="0.25">
      <c r="H709" s="5"/>
      <c r="J709" s="3"/>
      <c r="K709" s="4"/>
    </row>
    <row r="710" spans="8:11" x14ac:dyDescent="0.25">
      <c r="H710" s="5"/>
      <c r="J710" s="3"/>
      <c r="K710" s="4"/>
    </row>
    <row r="711" spans="8:11" x14ac:dyDescent="0.25">
      <c r="H711" s="5"/>
      <c r="J711" s="3"/>
      <c r="K711" s="4"/>
    </row>
    <row r="712" spans="8:11" x14ac:dyDescent="0.25">
      <c r="H712" s="5"/>
      <c r="J712" s="3"/>
      <c r="K712" s="4"/>
    </row>
    <row r="713" spans="8:11" x14ac:dyDescent="0.25">
      <c r="H713" s="5"/>
      <c r="J713" s="3"/>
      <c r="K713" s="4"/>
    </row>
    <row r="714" spans="8:11" x14ac:dyDescent="0.25">
      <c r="H714" s="5"/>
      <c r="J714" s="3"/>
      <c r="K714" s="4"/>
    </row>
    <row r="715" spans="8:11" x14ac:dyDescent="0.25">
      <c r="H715" s="5"/>
      <c r="J715" s="3"/>
      <c r="K715" s="4"/>
    </row>
    <row r="716" spans="8:11" x14ac:dyDescent="0.25">
      <c r="H716" s="5"/>
      <c r="J716" s="3"/>
      <c r="K716" s="4"/>
    </row>
    <row r="717" spans="8:11" x14ac:dyDescent="0.25">
      <c r="H717" s="5"/>
      <c r="J717" s="3"/>
      <c r="K717" s="4"/>
    </row>
    <row r="718" spans="8:11" x14ac:dyDescent="0.25">
      <c r="H718" s="5"/>
      <c r="J718" s="3"/>
      <c r="K718" s="4"/>
    </row>
    <row r="719" spans="8:11" x14ac:dyDescent="0.25">
      <c r="H719" s="5"/>
      <c r="J719" s="3"/>
      <c r="K719" s="4"/>
    </row>
    <row r="720" spans="8:11" x14ac:dyDescent="0.25">
      <c r="H720" s="5"/>
      <c r="J720" s="3"/>
      <c r="K720" s="4"/>
    </row>
    <row r="721" spans="8:11" x14ac:dyDescent="0.25">
      <c r="H721" s="5"/>
      <c r="J721" s="3"/>
      <c r="K721" s="4"/>
    </row>
    <row r="722" spans="8:11" x14ac:dyDescent="0.25">
      <c r="H722" s="5"/>
      <c r="J722" s="3"/>
      <c r="K722" s="4"/>
    </row>
    <row r="723" spans="8:11" x14ac:dyDescent="0.25">
      <c r="H723" s="5"/>
      <c r="J723" s="3"/>
      <c r="K723" s="4"/>
    </row>
    <row r="724" spans="8:11" x14ac:dyDescent="0.25">
      <c r="H724" s="5"/>
      <c r="J724" s="3"/>
      <c r="K724" s="4"/>
    </row>
    <row r="725" spans="8:11" x14ac:dyDescent="0.25">
      <c r="H725" s="5"/>
      <c r="J725" s="3"/>
      <c r="K725" s="4"/>
    </row>
    <row r="726" spans="8:11" x14ac:dyDescent="0.25">
      <c r="H726" s="5"/>
      <c r="J726" s="3"/>
      <c r="K726" s="4"/>
    </row>
    <row r="727" spans="8:11" x14ac:dyDescent="0.25">
      <c r="H727" s="5"/>
      <c r="J727" s="3"/>
      <c r="K727" s="4"/>
    </row>
    <row r="728" spans="8:11" x14ac:dyDescent="0.25">
      <c r="H728" s="5"/>
      <c r="J728" s="3"/>
      <c r="K728" s="4"/>
    </row>
    <row r="729" spans="8:11" x14ac:dyDescent="0.25">
      <c r="H729" s="5"/>
      <c r="J729" s="3"/>
      <c r="K729" s="4"/>
    </row>
    <row r="730" spans="8:11" x14ac:dyDescent="0.25">
      <c r="H730" s="5"/>
      <c r="J730" s="3"/>
      <c r="K730" s="4"/>
    </row>
    <row r="731" spans="8:11" x14ac:dyDescent="0.25">
      <c r="H731" s="5"/>
      <c r="J731" s="3"/>
      <c r="K731" s="4"/>
    </row>
    <row r="732" spans="8:11" x14ac:dyDescent="0.25">
      <c r="H732" s="5"/>
      <c r="J732" s="3"/>
      <c r="K732" s="4"/>
    </row>
    <row r="733" spans="8:11" x14ac:dyDescent="0.25">
      <c r="H733" s="5"/>
      <c r="J733" s="3"/>
      <c r="K733" s="4"/>
    </row>
    <row r="734" spans="8:11" x14ac:dyDescent="0.25">
      <c r="H734" s="5"/>
      <c r="J734" s="3"/>
      <c r="K734" s="4"/>
    </row>
    <row r="735" spans="8:11" x14ac:dyDescent="0.25">
      <c r="H735" s="5"/>
      <c r="J735" s="3"/>
      <c r="K735" s="4"/>
    </row>
    <row r="736" spans="8:11" x14ac:dyDescent="0.25">
      <c r="H736" s="5"/>
      <c r="J736" s="3"/>
      <c r="K736" s="4"/>
    </row>
    <row r="737" spans="8:11" x14ac:dyDescent="0.25">
      <c r="H737" s="5"/>
      <c r="J737" s="3"/>
      <c r="K737" s="4"/>
    </row>
    <row r="738" spans="8:11" x14ac:dyDescent="0.25">
      <c r="H738" s="5"/>
      <c r="J738" s="3"/>
      <c r="K738" s="4"/>
    </row>
    <row r="739" spans="8:11" x14ac:dyDescent="0.25">
      <c r="H739" s="5"/>
      <c r="J739" s="3"/>
      <c r="K739" s="4"/>
    </row>
    <row r="740" spans="8:11" x14ac:dyDescent="0.25">
      <c r="H740" s="5"/>
      <c r="J740" s="3"/>
      <c r="K740" s="4"/>
    </row>
    <row r="741" spans="8:11" x14ac:dyDescent="0.25">
      <c r="H741" s="5"/>
      <c r="J741" s="3"/>
      <c r="K741" s="4"/>
    </row>
    <row r="742" spans="8:11" x14ac:dyDescent="0.25">
      <c r="H742" s="5"/>
      <c r="J742" s="3"/>
      <c r="K742" s="4"/>
    </row>
    <row r="743" spans="8:11" x14ac:dyDescent="0.25">
      <c r="H743" s="5"/>
      <c r="J743" s="3"/>
      <c r="K743" s="4"/>
    </row>
    <row r="744" spans="8:11" x14ac:dyDescent="0.25">
      <c r="H744" s="5"/>
      <c r="J744" s="3"/>
      <c r="K744" s="4"/>
    </row>
    <row r="745" spans="8:11" x14ac:dyDescent="0.25">
      <c r="H745" s="5"/>
      <c r="J745" s="3"/>
      <c r="K745" s="4"/>
    </row>
    <row r="746" spans="8:11" x14ac:dyDescent="0.25">
      <c r="H746" s="5"/>
      <c r="J746" s="3"/>
      <c r="K746" s="4"/>
    </row>
    <row r="747" spans="8:11" x14ac:dyDescent="0.25">
      <c r="H747" s="5"/>
      <c r="J747" s="3"/>
      <c r="K747" s="4"/>
    </row>
    <row r="748" spans="8:11" x14ac:dyDescent="0.25">
      <c r="H748" s="5"/>
      <c r="J748" s="3"/>
      <c r="K748" s="4"/>
    </row>
    <row r="749" spans="8:11" x14ac:dyDescent="0.25">
      <c r="H749" s="5"/>
      <c r="J749" s="3"/>
      <c r="K749" s="4"/>
    </row>
    <row r="750" spans="8:11" x14ac:dyDescent="0.25">
      <c r="H750" s="5"/>
      <c r="J750" s="3"/>
      <c r="K750" s="4"/>
    </row>
    <row r="751" spans="8:11" x14ac:dyDescent="0.25">
      <c r="H751" s="5"/>
      <c r="J751" s="3"/>
      <c r="K751" s="4"/>
    </row>
    <row r="752" spans="8:11" x14ac:dyDescent="0.25">
      <c r="H752" s="5"/>
      <c r="J752" s="3"/>
      <c r="K752" s="4"/>
    </row>
    <row r="753" spans="8:11" x14ac:dyDescent="0.25">
      <c r="H753" s="5"/>
      <c r="J753" s="3"/>
      <c r="K753" s="4"/>
    </row>
    <row r="754" spans="8:11" x14ac:dyDescent="0.25">
      <c r="H754" s="5"/>
      <c r="J754" s="3"/>
      <c r="K754" s="4"/>
    </row>
    <row r="755" spans="8:11" x14ac:dyDescent="0.25">
      <c r="H755" s="5"/>
      <c r="J755" s="3"/>
      <c r="K755" s="4"/>
    </row>
    <row r="756" spans="8:11" x14ac:dyDescent="0.25">
      <c r="H756" s="5"/>
      <c r="J756" s="3"/>
      <c r="K756" s="4"/>
    </row>
    <row r="757" spans="8:11" x14ac:dyDescent="0.25">
      <c r="H757" s="5"/>
      <c r="J757" s="3"/>
      <c r="K757" s="4"/>
    </row>
    <row r="758" spans="8:11" x14ac:dyDescent="0.25">
      <c r="H758" s="5"/>
      <c r="J758" s="3"/>
      <c r="K758" s="4"/>
    </row>
    <row r="759" spans="8:11" x14ac:dyDescent="0.25">
      <c r="H759" s="5"/>
      <c r="J759" s="3"/>
      <c r="K759" s="4"/>
    </row>
    <row r="760" spans="8:11" x14ac:dyDescent="0.25">
      <c r="H760" s="5"/>
      <c r="J760" s="3"/>
      <c r="K760" s="4"/>
    </row>
    <row r="761" spans="8:11" x14ac:dyDescent="0.25">
      <c r="H761" s="5"/>
      <c r="J761" s="3"/>
      <c r="K761" s="4"/>
    </row>
    <row r="762" spans="8:11" x14ac:dyDescent="0.25">
      <c r="H762" s="5"/>
      <c r="J762" s="3"/>
      <c r="K762" s="4"/>
    </row>
    <row r="763" spans="8:11" x14ac:dyDescent="0.25">
      <c r="H763" s="5"/>
      <c r="J763" s="3"/>
      <c r="K763" s="4"/>
    </row>
    <row r="764" spans="8:11" x14ac:dyDescent="0.25">
      <c r="H764" s="5"/>
      <c r="J764" s="3"/>
      <c r="K764" s="4"/>
    </row>
    <row r="765" spans="8:11" x14ac:dyDescent="0.25">
      <c r="H765" s="5"/>
      <c r="J765" s="3"/>
      <c r="K765" s="4"/>
    </row>
    <row r="766" spans="8:11" x14ac:dyDescent="0.25">
      <c r="H766" s="5"/>
      <c r="J766" s="3"/>
      <c r="K766" s="4"/>
    </row>
    <row r="767" spans="8:11" x14ac:dyDescent="0.25">
      <c r="H767" s="5"/>
      <c r="J767" s="3"/>
      <c r="K767" s="4"/>
    </row>
    <row r="768" spans="8:11" x14ac:dyDescent="0.25">
      <c r="H768" s="5"/>
      <c r="J768" s="3"/>
      <c r="K768" s="4"/>
    </row>
    <row r="769" spans="8:11" x14ac:dyDescent="0.25">
      <c r="H769" s="5"/>
      <c r="J769" s="3"/>
      <c r="K769" s="4"/>
    </row>
    <row r="770" spans="8:11" x14ac:dyDescent="0.25">
      <c r="H770" s="5"/>
      <c r="J770" s="3"/>
      <c r="K770" s="4"/>
    </row>
    <row r="771" spans="8:11" x14ac:dyDescent="0.25">
      <c r="H771" s="5"/>
      <c r="J771" s="3"/>
      <c r="K771" s="4"/>
    </row>
    <row r="772" spans="8:11" x14ac:dyDescent="0.25">
      <c r="H772" s="5"/>
      <c r="J772" s="3"/>
      <c r="K772" s="4"/>
    </row>
    <row r="773" spans="8:11" x14ac:dyDescent="0.25">
      <c r="H773" s="5"/>
      <c r="J773" s="3"/>
      <c r="K773" s="4"/>
    </row>
    <row r="774" spans="8:11" x14ac:dyDescent="0.25">
      <c r="H774" s="5"/>
      <c r="J774" s="3"/>
      <c r="K774" s="4"/>
    </row>
    <row r="775" spans="8:11" x14ac:dyDescent="0.25">
      <c r="H775" s="5"/>
      <c r="J775" s="3"/>
      <c r="K775" s="4"/>
    </row>
    <row r="776" spans="8:11" x14ac:dyDescent="0.25">
      <c r="H776" s="5"/>
      <c r="J776" s="3"/>
      <c r="K776" s="4"/>
    </row>
    <row r="777" spans="8:11" x14ac:dyDescent="0.25">
      <c r="H777" s="5"/>
      <c r="J777" s="3"/>
      <c r="K777" s="4"/>
    </row>
    <row r="778" spans="8:11" x14ac:dyDescent="0.25">
      <c r="H778" s="5"/>
      <c r="J778" s="3"/>
      <c r="K778" s="4"/>
    </row>
    <row r="779" spans="8:11" x14ac:dyDescent="0.25">
      <c r="H779" s="5"/>
      <c r="J779" s="3"/>
      <c r="K779" s="4"/>
    </row>
    <row r="780" spans="8:11" x14ac:dyDescent="0.25">
      <c r="H780" s="5"/>
      <c r="J780" s="3"/>
      <c r="K780" s="4"/>
    </row>
    <row r="781" spans="8:11" x14ac:dyDescent="0.25">
      <c r="H781" s="5"/>
      <c r="J781" s="3"/>
      <c r="K781" s="4"/>
    </row>
    <row r="782" spans="8:11" x14ac:dyDescent="0.25">
      <c r="H782" s="5"/>
      <c r="J782" s="3"/>
      <c r="K782" s="4"/>
    </row>
    <row r="783" spans="8:11" x14ac:dyDescent="0.25">
      <c r="H783" s="5"/>
      <c r="J783" s="3"/>
      <c r="K783" s="4"/>
    </row>
    <row r="784" spans="8:11" x14ac:dyDescent="0.25">
      <c r="H784" s="5"/>
      <c r="J784" s="3"/>
      <c r="K784" s="4"/>
    </row>
    <row r="785" spans="8:11" x14ac:dyDescent="0.25">
      <c r="H785" s="5"/>
      <c r="J785" s="3"/>
      <c r="K785" s="4"/>
    </row>
    <row r="786" spans="8:11" x14ac:dyDescent="0.25">
      <c r="H786" s="5"/>
      <c r="J786" s="3"/>
      <c r="K786" s="4"/>
    </row>
    <row r="787" spans="8:11" x14ac:dyDescent="0.25">
      <c r="H787" s="5"/>
      <c r="J787" s="3"/>
      <c r="K787" s="4"/>
    </row>
    <row r="788" spans="8:11" x14ac:dyDescent="0.25">
      <c r="H788" s="5"/>
      <c r="J788" s="3"/>
      <c r="K788" s="4"/>
    </row>
    <row r="789" spans="8:11" x14ac:dyDescent="0.25">
      <c r="H789" s="5"/>
      <c r="J789" s="3"/>
      <c r="K789" s="4"/>
    </row>
    <row r="790" spans="8:11" x14ac:dyDescent="0.25">
      <c r="H790" s="5"/>
      <c r="J790" s="3"/>
      <c r="K790" s="4"/>
    </row>
    <row r="791" spans="8:11" x14ac:dyDescent="0.25">
      <c r="H791" s="5"/>
      <c r="J791" s="3"/>
      <c r="K791" s="4"/>
    </row>
    <row r="792" spans="8:11" x14ac:dyDescent="0.25">
      <c r="H792" s="5"/>
      <c r="J792" s="3"/>
      <c r="K792" s="4"/>
    </row>
    <row r="793" spans="8:11" x14ac:dyDescent="0.25">
      <c r="H793" s="5"/>
      <c r="J793" s="3"/>
      <c r="K793" s="4"/>
    </row>
    <row r="794" spans="8:11" x14ac:dyDescent="0.25">
      <c r="H794" s="5"/>
      <c r="J794" s="3"/>
      <c r="K794" s="4"/>
    </row>
    <row r="795" spans="8:11" x14ac:dyDescent="0.25">
      <c r="H795" s="5"/>
      <c r="J795" s="3"/>
      <c r="K795" s="4"/>
    </row>
    <row r="796" spans="8:11" x14ac:dyDescent="0.25">
      <c r="H796" s="5"/>
      <c r="J796" s="3"/>
      <c r="K796" s="4"/>
    </row>
    <row r="797" spans="8:11" x14ac:dyDescent="0.25">
      <c r="H797" s="5"/>
      <c r="J797" s="3"/>
      <c r="K797" s="4"/>
    </row>
    <row r="798" spans="8:11" x14ac:dyDescent="0.25">
      <c r="H798" s="5"/>
      <c r="J798" s="3"/>
      <c r="K798" s="4"/>
    </row>
    <row r="799" spans="8:11" x14ac:dyDescent="0.25">
      <c r="H799" s="5"/>
      <c r="J799" s="3"/>
      <c r="K799" s="4"/>
    </row>
    <row r="800" spans="8:11" x14ac:dyDescent="0.25">
      <c r="H800" s="5"/>
      <c r="J800" s="3"/>
      <c r="K800" s="4"/>
    </row>
    <row r="801" spans="8:11" x14ac:dyDescent="0.25">
      <c r="H801" s="5"/>
      <c r="J801" s="3"/>
      <c r="K801" s="4"/>
    </row>
    <row r="802" spans="8:11" x14ac:dyDescent="0.25">
      <c r="H802" s="5"/>
      <c r="J802" s="3"/>
      <c r="K802" s="4"/>
    </row>
    <row r="803" spans="8:11" x14ac:dyDescent="0.25">
      <c r="H803" s="5"/>
      <c r="J803" s="3"/>
      <c r="K803" s="4"/>
    </row>
    <row r="804" spans="8:11" x14ac:dyDescent="0.25">
      <c r="H804" s="5"/>
      <c r="J804" s="3"/>
      <c r="K804" s="4"/>
    </row>
    <row r="805" spans="8:11" x14ac:dyDescent="0.25">
      <c r="H805" s="5"/>
      <c r="J805" s="3"/>
      <c r="K805" s="4"/>
    </row>
    <row r="806" spans="8:11" x14ac:dyDescent="0.25">
      <c r="H806" s="5"/>
      <c r="J806" s="3"/>
      <c r="K806" s="4"/>
    </row>
    <row r="807" spans="8:11" x14ac:dyDescent="0.25">
      <c r="H807" s="5"/>
      <c r="J807" s="3"/>
      <c r="K807" s="4"/>
    </row>
    <row r="808" spans="8:11" x14ac:dyDescent="0.25">
      <c r="H808" s="5"/>
      <c r="J808" s="3"/>
      <c r="K808" s="4"/>
    </row>
    <row r="809" spans="8:11" x14ac:dyDescent="0.25">
      <c r="H809" s="5"/>
      <c r="J809" s="3"/>
      <c r="K809" s="4"/>
    </row>
    <row r="810" spans="8:11" x14ac:dyDescent="0.25">
      <c r="H810" s="5"/>
      <c r="J810" s="3"/>
      <c r="K810" s="4"/>
    </row>
    <row r="811" spans="8:11" x14ac:dyDescent="0.25">
      <c r="H811" s="5"/>
      <c r="J811" s="3"/>
      <c r="K811" s="4"/>
    </row>
    <row r="812" spans="8:11" x14ac:dyDescent="0.25">
      <c r="H812" s="5"/>
      <c r="J812" s="3"/>
      <c r="K812" s="4"/>
    </row>
    <row r="813" spans="8:11" x14ac:dyDescent="0.25">
      <c r="H813" s="5"/>
      <c r="J813" s="3"/>
      <c r="K813" s="4"/>
    </row>
    <row r="814" spans="8:11" x14ac:dyDescent="0.25">
      <c r="H814" s="5"/>
      <c r="J814" s="3"/>
      <c r="K814" s="4"/>
    </row>
    <row r="815" spans="8:11" x14ac:dyDescent="0.25">
      <c r="H815" s="5"/>
      <c r="J815" s="3"/>
      <c r="K815" s="4"/>
    </row>
    <row r="816" spans="8:11" x14ac:dyDescent="0.25">
      <c r="H816" s="5"/>
      <c r="J816" s="3"/>
      <c r="K816" s="4"/>
    </row>
    <row r="817" spans="8:11" x14ac:dyDescent="0.25">
      <c r="H817" s="5"/>
      <c r="J817" s="3"/>
      <c r="K817" s="4"/>
    </row>
    <row r="818" spans="8:11" x14ac:dyDescent="0.25">
      <c r="H818" s="5"/>
      <c r="J818" s="3"/>
      <c r="K818" s="4"/>
    </row>
    <row r="819" spans="8:11" x14ac:dyDescent="0.25">
      <c r="H819" s="5"/>
      <c r="J819" s="3"/>
      <c r="K819" s="4"/>
    </row>
    <row r="820" spans="8:11" x14ac:dyDescent="0.25">
      <c r="H820" s="5"/>
      <c r="J820" s="3"/>
      <c r="K820" s="4"/>
    </row>
    <row r="821" spans="8:11" x14ac:dyDescent="0.25">
      <c r="H821" s="5"/>
      <c r="J821" s="3"/>
      <c r="K821" s="4"/>
    </row>
    <row r="822" spans="8:11" x14ac:dyDescent="0.25">
      <c r="H822" s="5"/>
      <c r="J822" s="3"/>
      <c r="K822" s="4"/>
    </row>
    <row r="823" spans="8:11" x14ac:dyDescent="0.25">
      <c r="H823" s="5"/>
      <c r="J823" s="3"/>
      <c r="K823" s="4"/>
    </row>
    <row r="824" spans="8:11" x14ac:dyDescent="0.25">
      <c r="H824" s="5"/>
      <c r="J824" s="3"/>
      <c r="K824" s="4"/>
    </row>
    <row r="825" spans="8:11" x14ac:dyDescent="0.25">
      <c r="H825" s="5"/>
      <c r="J825" s="3"/>
      <c r="K825" s="4"/>
    </row>
    <row r="826" spans="8:11" x14ac:dyDescent="0.25">
      <c r="H826" s="5"/>
      <c r="J826" s="3"/>
      <c r="K826" s="4"/>
    </row>
    <row r="827" spans="8:11" x14ac:dyDescent="0.25">
      <c r="H827" s="5"/>
      <c r="J827" s="3"/>
      <c r="K827" s="4"/>
    </row>
    <row r="828" spans="8:11" x14ac:dyDescent="0.25">
      <c r="H828" s="5"/>
      <c r="J828" s="3"/>
      <c r="K828" s="4"/>
    </row>
    <row r="829" spans="8:11" x14ac:dyDescent="0.25">
      <c r="H829" s="5"/>
      <c r="J829" s="3"/>
      <c r="K829" s="4"/>
    </row>
    <row r="830" spans="8:11" x14ac:dyDescent="0.25">
      <c r="H830" s="5"/>
      <c r="J830" s="3"/>
      <c r="K830" s="4"/>
    </row>
    <row r="831" spans="8:11" x14ac:dyDescent="0.25">
      <c r="H831" s="5"/>
      <c r="J831" s="3"/>
      <c r="K831" s="4"/>
    </row>
    <row r="832" spans="8:11" x14ac:dyDescent="0.25">
      <c r="H832" s="5"/>
      <c r="J832" s="3"/>
      <c r="K832" s="4"/>
    </row>
    <row r="833" spans="8:11" x14ac:dyDescent="0.25">
      <c r="H833" s="5"/>
      <c r="J833" s="3"/>
      <c r="K833" s="4"/>
    </row>
    <row r="834" spans="8:11" x14ac:dyDescent="0.25">
      <c r="H834" s="5"/>
      <c r="J834" s="3"/>
      <c r="K834" s="4"/>
    </row>
    <row r="835" spans="8:11" x14ac:dyDescent="0.25">
      <c r="H835" s="5"/>
      <c r="J835" s="3"/>
      <c r="K835" s="4"/>
    </row>
    <row r="836" spans="8:11" x14ac:dyDescent="0.25">
      <c r="H836" s="5"/>
      <c r="J836" s="3"/>
      <c r="K836" s="4"/>
    </row>
    <row r="837" spans="8:11" x14ac:dyDescent="0.25">
      <c r="H837" s="5"/>
      <c r="J837" s="3"/>
      <c r="K837" s="4"/>
    </row>
    <row r="838" spans="8:11" x14ac:dyDescent="0.25">
      <c r="H838" s="5"/>
      <c r="J838" s="3"/>
      <c r="K838" s="4"/>
    </row>
    <row r="839" spans="8:11" x14ac:dyDescent="0.25">
      <c r="H839" s="5"/>
      <c r="J839" s="3"/>
      <c r="K839" s="4"/>
    </row>
    <row r="840" spans="8:11" x14ac:dyDescent="0.25">
      <c r="H840" s="5"/>
      <c r="J840" s="3"/>
      <c r="K840" s="4"/>
    </row>
    <row r="841" spans="8:11" x14ac:dyDescent="0.25">
      <c r="H841" s="5"/>
      <c r="J841" s="3"/>
      <c r="K841" s="4"/>
    </row>
    <row r="842" spans="8:11" x14ac:dyDescent="0.25">
      <c r="H842" s="5"/>
      <c r="J842" s="3"/>
      <c r="K842" s="4"/>
    </row>
    <row r="843" spans="8:11" x14ac:dyDescent="0.25">
      <c r="H843" s="5"/>
      <c r="J843" s="3"/>
      <c r="K843" s="4"/>
    </row>
    <row r="844" spans="8:11" x14ac:dyDescent="0.25">
      <c r="H844" s="5"/>
      <c r="J844" s="3"/>
      <c r="K844" s="4"/>
    </row>
    <row r="845" spans="8:11" x14ac:dyDescent="0.25">
      <c r="H845" s="5"/>
      <c r="J845" s="3"/>
      <c r="K845" s="4"/>
    </row>
    <row r="846" spans="8:11" x14ac:dyDescent="0.25">
      <c r="H846" s="5"/>
      <c r="J846" s="3"/>
      <c r="K846" s="4"/>
    </row>
    <row r="847" spans="8:11" x14ac:dyDescent="0.25">
      <c r="H847" s="5"/>
      <c r="J847" s="3"/>
      <c r="K847" s="4"/>
    </row>
    <row r="848" spans="8:11" x14ac:dyDescent="0.25">
      <c r="H848" s="5"/>
      <c r="J848" s="3"/>
      <c r="K848" s="4"/>
    </row>
    <row r="849" spans="8:11" x14ac:dyDescent="0.25">
      <c r="H849" s="5"/>
      <c r="J849" s="3"/>
      <c r="K849" s="4"/>
    </row>
    <row r="850" spans="8:11" x14ac:dyDescent="0.25">
      <c r="H850" s="5"/>
      <c r="J850" s="3"/>
      <c r="K850" s="4"/>
    </row>
    <row r="851" spans="8:11" x14ac:dyDescent="0.25">
      <c r="H851" s="5"/>
      <c r="J851" s="3"/>
      <c r="K851" s="4"/>
    </row>
    <row r="852" spans="8:11" x14ac:dyDescent="0.25">
      <c r="H852" s="5"/>
      <c r="J852" s="3"/>
      <c r="K852" s="4"/>
    </row>
    <row r="853" spans="8:11" x14ac:dyDescent="0.25">
      <c r="H853" s="5"/>
      <c r="J853" s="3"/>
      <c r="K853" s="4"/>
    </row>
    <row r="854" spans="8:11" x14ac:dyDescent="0.25">
      <c r="H854" s="5"/>
      <c r="J854" s="3"/>
      <c r="K854" s="4"/>
    </row>
    <row r="855" spans="8:11" x14ac:dyDescent="0.25">
      <c r="H855" s="5"/>
      <c r="J855" s="3"/>
      <c r="K855" s="4"/>
    </row>
    <row r="856" spans="8:11" x14ac:dyDescent="0.25">
      <c r="H856" s="5"/>
      <c r="J856" s="3"/>
      <c r="K856" s="4"/>
    </row>
    <row r="857" spans="8:11" x14ac:dyDescent="0.25">
      <c r="H857" s="5"/>
      <c r="J857" s="3"/>
      <c r="K857" s="4"/>
    </row>
    <row r="858" spans="8:11" x14ac:dyDescent="0.25">
      <c r="H858" s="5"/>
      <c r="J858" s="3"/>
      <c r="K858" s="4"/>
    </row>
    <row r="859" spans="8:11" x14ac:dyDescent="0.25">
      <c r="H859" s="5"/>
      <c r="J859" s="3"/>
      <c r="K859" s="4"/>
    </row>
    <row r="860" spans="8:11" x14ac:dyDescent="0.25">
      <c r="H860" s="5"/>
      <c r="J860" s="3"/>
      <c r="K860" s="4"/>
    </row>
    <row r="861" spans="8:11" x14ac:dyDescent="0.25">
      <c r="H861" s="5"/>
      <c r="J861" s="3"/>
      <c r="K861" s="4"/>
    </row>
    <row r="862" spans="8:11" x14ac:dyDescent="0.25">
      <c r="H862" s="5"/>
      <c r="J862" s="3"/>
      <c r="K862" s="4"/>
    </row>
    <row r="863" spans="8:11" x14ac:dyDescent="0.25">
      <c r="H863" s="5"/>
      <c r="J863" s="3"/>
      <c r="K863" s="4"/>
    </row>
    <row r="864" spans="8:11" x14ac:dyDescent="0.25">
      <c r="H864" s="5"/>
      <c r="J864" s="3"/>
      <c r="K864" s="4"/>
    </row>
    <row r="865" spans="8:11" x14ac:dyDescent="0.25">
      <c r="H865" s="5"/>
      <c r="J865" s="3"/>
      <c r="K865" s="4"/>
    </row>
    <row r="866" spans="8:11" x14ac:dyDescent="0.25">
      <c r="H866" s="5"/>
      <c r="J866" s="3"/>
      <c r="K866" s="4"/>
    </row>
    <row r="867" spans="8:11" x14ac:dyDescent="0.25">
      <c r="H867" s="5"/>
      <c r="J867" s="3"/>
      <c r="K867" s="4"/>
    </row>
    <row r="868" spans="8:11" x14ac:dyDescent="0.25">
      <c r="H868" s="5"/>
      <c r="J868" s="3"/>
      <c r="K868" s="4"/>
    </row>
    <row r="869" spans="8:11" x14ac:dyDescent="0.25">
      <c r="H869" s="5"/>
      <c r="J869" s="3"/>
      <c r="K869" s="4"/>
    </row>
    <row r="870" spans="8:11" x14ac:dyDescent="0.25">
      <c r="H870" s="5"/>
      <c r="J870" s="3"/>
      <c r="K870" s="4"/>
    </row>
    <row r="871" spans="8:11" x14ac:dyDescent="0.25">
      <c r="H871" s="5"/>
      <c r="J871" s="3"/>
      <c r="K871" s="4"/>
    </row>
    <row r="872" spans="8:11" x14ac:dyDescent="0.25">
      <c r="H872" s="5"/>
      <c r="J872" s="3"/>
      <c r="K872" s="4"/>
    </row>
    <row r="873" spans="8:11" x14ac:dyDescent="0.25">
      <c r="H873" s="5"/>
      <c r="J873" s="3"/>
      <c r="K873" s="4"/>
    </row>
    <row r="874" spans="8:11" x14ac:dyDescent="0.25">
      <c r="H874" s="5"/>
      <c r="J874" s="3"/>
      <c r="K874" s="4"/>
    </row>
    <row r="875" spans="8:11" x14ac:dyDescent="0.25">
      <c r="H875" s="5"/>
      <c r="J875" s="3"/>
      <c r="K875" s="4"/>
    </row>
    <row r="876" spans="8:11" x14ac:dyDescent="0.25">
      <c r="H876" s="5"/>
      <c r="J876" s="3"/>
      <c r="K876" s="4"/>
    </row>
    <row r="877" spans="8:11" x14ac:dyDescent="0.25">
      <c r="H877" s="5"/>
      <c r="J877" s="3"/>
      <c r="K877" s="4"/>
    </row>
    <row r="878" spans="8:11" x14ac:dyDescent="0.25">
      <c r="H878" s="5"/>
      <c r="J878" s="3"/>
      <c r="K878" s="4"/>
    </row>
    <row r="879" spans="8:11" x14ac:dyDescent="0.25">
      <c r="H879" s="5"/>
      <c r="J879" s="3"/>
      <c r="K879" s="4"/>
    </row>
    <row r="880" spans="8:11" x14ac:dyDescent="0.25">
      <c r="H880" s="5"/>
      <c r="J880" s="3"/>
      <c r="K880" s="4"/>
    </row>
    <row r="881" spans="8:11" x14ac:dyDescent="0.25">
      <c r="H881" s="5"/>
      <c r="J881" s="3"/>
      <c r="K881" s="4"/>
    </row>
    <row r="882" spans="8:11" x14ac:dyDescent="0.25">
      <c r="H882" s="5"/>
      <c r="J882" s="3"/>
      <c r="K882" s="4"/>
    </row>
    <row r="883" spans="8:11" x14ac:dyDescent="0.25">
      <c r="H883" s="5"/>
      <c r="J883" s="3"/>
      <c r="K883" s="4"/>
    </row>
    <row r="884" spans="8:11" x14ac:dyDescent="0.25">
      <c r="H884" s="5"/>
      <c r="J884" s="3"/>
      <c r="K884" s="4"/>
    </row>
    <row r="885" spans="8:11" x14ac:dyDescent="0.25">
      <c r="H885" s="5"/>
      <c r="J885" s="3"/>
      <c r="K885" s="4"/>
    </row>
    <row r="886" spans="8:11" x14ac:dyDescent="0.25">
      <c r="H886" s="5"/>
      <c r="J886" s="3"/>
      <c r="K886" s="4"/>
    </row>
    <row r="887" spans="8:11" x14ac:dyDescent="0.25">
      <c r="H887" s="5"/>
      <c r="J887" s="3"/>
      <c r="K887" s="4"/>
    </row>
    <row r="888" spans="8:11" x14ac:dyDescent="0.25">
      <c r="H888" s="5"/>
      <c r="J888" s="3"/>
      <c r="K888" s="4"/>
    </row>
    <row r="889" spans="8:11" x14ac:dyDescent="0.25">
      <c r="H889" s="5"/>
      <c r="J889" s="3"/>
      <c r="K889" s="4"/>
    </row>
    <row r="890" spans="8:11" x14ac:dyDescent="0.25">
      <c r="H890" s="5"/>
      <c r="J890" s="3"/>
      <c r="K890" s="4"/>
    </row>
    <row r="891" spans="8:11" x14ac:dyDescent="0.25">
      <c r="H891" s="5"/>
      <c r="J891" s="3"/>
      <c r="K891" s="4"/>
    </row>
    <row r="892" spans="8:11" x14ac:dyDescent="0.25">
      <c r="H892" s="5"/>
      <c r="J892" s="3"/>
      <c r="K892" s="4"/>
    </row>
    <row r="893" spans="8:11" x14ac:dyDescent="0.25">
      <c r="H893" s="5"/>
      <c r="J893" s="3"/>
      <c r="K893" s="4"/>
    </row>
    <row r="894" spans="8:11" x14ac:dyDescent="0.25">
      <c r="H894" s="5"/>
      <c r="J894" s="3"/>
      <c r="K894" s="4"/>
    </row>
    <row r="895" spans="8:11" x14ac:dyDescent="0.25">
      <c r="H895" s="5"/>
      <c r="J895" s="3"/>
      <c r="K895" s="4"/>
    </row>
    <row r="896" spans="8:11" x14ac:dyDescent="0.25">
      <c r="H896" s="5"/>
      <c r="J896" s="3"/>
      <c r="K896" s="4"/>
    </row>
    <row r="897" spans="8:11" x14ac:dyDescent="0.25">
      <c r="H897" s="5"/>
      <c r="J897" s="3"/>
      <c r="K897" s="4"/>
    </row>
    <row r="898" spans="8:11" x14ac:dyDescent="0.25">
      <c r="H898" s="5"/>
      <c r="J898" s="3"/>
      <c r="K898" s="4"/>
    </row>
    <row r="899" spans="8:11" x14ac:dyDescent="0.25">
      <c r="H899" s="5"/>
      <c r="J899" s="3"/>
      <c r="K899" s="4"/>
    </row>
    <row r="900" spans="8:11" x14ac:dyDescent="0.25">
      <c r="H900" s="5"/>
      <c r="J900" s="3"/>
      <c r="K900" s="4"/>
    </row>
    <row r="901" spans="8:11" x14ac:dyDescent="0.25">
      <c r="H901" s="5"/>
      <c r="J901" s="3"/>
      <c r="K901" s="4"/>
    </row>
    <row r="902" spans="8:11" x14ac:dyDescent="0.25">
      <c r="H902" s="5"/>
      <c r="J902" s="3"/>
      <c r="K902" s="4"/>
    </row>
    <row r="903" spans="8:11" x14ac:dyDescent="0.25">
      <c r="H903" s="5"/>
      <c r="J903" s="3"/>
      <c r="K903" s="4"/>
    </row>
    <row r="904" spans="8:11" x14ac:dyDescent="0.25">
      <c r="H904" s="5"/>
      <c r="J904" s="3"/>
      <c r="K904" s="4"/>
    </row>
    <row r="905" spans="8:11" x14ac:dyDescent="0.25">
      <c r="H905" s="5"/>
      <c r="J905" s="3"/>
      <c r="K905" s="4"/>
    </row>
    <row r="906" spans="8:11" x14ac:dyDescent="0.25">
      <c r="H906" s="5"/>
      <c r="J906" s="3"/>
      <c r="K906" s="4"/>
    </row>
    <row r="907" spans="8:11" x14ac:dyDescent="0.25">
      <c r="H907" s="5"/>
      <c r="J907" s="3"/>
      <c r="K907" s="4"/>
    </row>
    <row r="908" spans="8:11" x14ac:dyDescent="0.25">
      <c r="H908" s="5"/>
      <c r="J908" s="3"/>
      <c r="K908" s="4"/>
    </row>
    <row r="909" spans="8:11" x14ac:dyDescent="0.25">
      <c r="H909" s="5"/>
      <c r="J909" s="3"/>
      <c r="K909" s="4"/>
    </row>
    <row r="910" spans="8:11" x14ac:dyDescent="0.25">
      <c r="H910" s="5"/>
      <c r="J910" s="3"/>
      <c r="K910" s="4"/>
    </row>
    <row r="911" spans="8:11" x14ac:dyDescent="0.25">
      <c r="H911" s="5"/>
      <c r="J911" s="3"/>
      <c r="K911" s="4"/>
    </row>
    <row r="912" spans="8:11" x14ac:dyDescent="0.25">
      <c r="H912" s="5"/>
      <c r="J912" s="3"/>
      <c r="K912" s="4"/>
    </row>
    <row r="913" spans="8:11" x14ac:dyDescent="0.25">
      <c r="H913" s="5"/>
      <c r="J913" s="3"/>
      <c r="K913" s="4"/>
    </row>
    <row r="914" spans="8:11" x14ac:dyDescent="0.25">
      <c r="H914" s="5"/>
      <c r="J914" s="3"/>
      <c r="K914" s="4"/>
    </row>
    <row r="915" spans="8:11" x14ac:dyDescent="0.25">
      <c r="H915" s="5"/>
      <c r="J915" s="3"/>
      <c r="K915" s="4"/>
    </row>
    <row r="916" spans="8:11" x14ac:dyDescent="0.25">
      <c r="H916" s="5"/>
      <c r="J916" s="3"/>
      <c r="K916" s="4"/>
    </row>
    <row r="917" spans="8:11" x14ac:dyDescent="0.25">
      <c r="H917" s="5"/>
      <c r="J917" s="3"/>
      <c r="K917" s="4"/>
    </row>
    <row r="918" spans="8:11" x14ac:dyDescent="0.25">
      <c r="H918" s="5"/>
      <c r="J918" s="3"/>
      <c r="K918" s="4"/>
    </row>
    <row r="919" spans="8:11" x14ac:dyDescent="0.25">
      <c r="H919" s="5"/>
      <c r="J919" s="3"/>
      <c r="K919" s="4"/>
    </row>
    <row r="920" spans="8:11" x14ac:dyDescent="0.25">
      <c r="H920" s="5"/>
      <c r="J920" s="3"/>
      <c r="K920" s="4"/>
    </row>
    <row r="921" spans="8:11" x14ac:dyDescent="0.25">
      <c r="H921" s="5"/>
      <c r="J921" s="3"/>
      <c r="K921" s="4"/>
    </row>
    <row r="922" spans="8:11" x14ac:dyDescent="0.25">
      <c r="H922" s="5"/>
      <c r="J922" s="3"/>
      <c r="K922" s="4"/>
    </row>
    <row r="923" spans="8:11" x14ac:dyDescent="0.25">
      <c r="H923" s="5"/>
      <c r="J923" s="3"/>
      <c r="K923" s="4"/>
    </row>
    <row r="924" spans="8:11" x14ac:dyDescent="0.25">
      <c r="H924" s="5"/>
      <c r="J924" s="3"/>
      <c r="K924" s="4"/>
    </row>
    <row r="925" spans="8:11" x14ac:dyDescent="0.25">
      <c r="H925" s="5"/>
      <c r="J925" s="3"/>
      <c r="K925" s="4"/>
    </row>
    <row r="926" spans="8:11" x14ac:dyDescent="0.25">
      <c r="H926" s="5"/>
      <c r="J926" s="3"/>
      <c r="K926" s="4"/>
    </row>
    <row r="927" spans="8:11" x14ac:dyDescent="0.25">
      <c r="H927" s="5"/>
      <c r="J927" s="3"/>
      <c r="K927" s="4"/>
    </row>
    <row r="928" spans="8:11" x14ac:dyDescent="0.25">
      <c r="H928" s="5"/>
      <c r="J928" s="3"/>
      <c r="K928" s="4"/>
    </row>
    <row r="929" spans="8:11" x14ac:dyDescent="0.25">
      <c r="H929" s="5"/>
      <c r="J929" s="3"/>
      <c r="K929" s="4"/>
    </row>
    <row r="930" spans="8:11" x14ac:dyDescent="0.25">
      <c r="H930" s="5"/>
      <c r="J930" s="3"/>
      <c r="K930" s="4"/>
    </row>
    <row r="931" spans="8:11" x14ac:dyDescent="0.25">
      <c r="H931" s="5"/>
      <c r="J931" s="3"/>
      <c r="K931" s="4"/>
    </row>
    <row r="932" spans="8:11" x14ac:dyDescent="0.25">
      <c r="H932" s="5"/>
      <c r="J932" s="3"/>
      <c r="K932" s="4"/>
    </row>
    <row r="933" spans="8:11" x14ac:dyDescent="0.25">
      <c r="H933" s="5"/>
      <c r="J933" s="3"/>
      <c r="K933" s="4"/>
    </row>
    <row r="934" spans="8:11" x14ac:dyDescent="0.25">
      <c r="H934" s="5"/>
      <c r="J934" s="3"/>
      <c r="K934" s="4"/>
    </row>
    <row r="935" spans="8:11" x14ac:dyDescent="0.25">
      <c r="H935" s="5"/>
      <c r="J935" s="3"/>
      <c r="K935" s="4"/>
    </row>
    <row r="936" spans="8:11" x14ac:dyDescent="0.25">
      <c r="H936" s="5"/>
      <c r="J936" s="3"/>
      <c r="K936" s="4"/>
    </row>
    <row r="937" spans="8:11" x14ac:dyDescent="0.25">
      <c r="H937" s="5"/>
      <c r="J937" s="3"/>
      <c r="K937" s="4"/>
    </row>
    <row r="938" spans="8:11" x14ac:dyDescent="0.25">
      <c r="H938" s="5"/>
      <c r="J938" s="3"/>
      <c r="K938" s="4"/>
    </row>
    <row r="939" spans="8:11" x14ac:dyDescent="0.25">
      <c r="H939" s="5"/>
      <c r="J939" s="3"/>
      <c r="K939" s="4"/>
    </row>
    <row r="940" spans="8:11" x14ac:dyDescent="0.25">
      <c r="H940" s="5"/>
      <c r="J940" s="3"/>
      <c r="K940" s="4"/>
    </row>
    <row r="941" spans="8:11" x14ac:dyDescent="0.25">
      <c r="H941" s="5"/>
      <c r="J941" s="3"/>
      <c r="K941" s="4"/>
    </row>
    <row r="942" spans="8:11" x14ac:dyDescent="0.25">
      <c r="H942" s="5"/>
      <c r="J942" s="3"/>
      <c r="K942" s="4"/>
    </row>
    <row r="943" spans="8:11" x14ac:dyDescent="0.25">
      <c r="H943" s="5"/>
      <c r="J943" s="3"/>
      <c r="K943" s="4"/>
    </row>
    <row r="944" spans="8:11" x14ac:dyDescent="0.25">
      <c r="H944" s="5"/>
      <c r="J944" s="3"/>
      <c r="K944" s="4"/>
    </row>
    <row r="945" spans="8:11" x14ac:dyDescent="0.25">
      <c r="H945" s="5"/>
      <c r="J945" s="3"/>
      <c r="K945" s="4"/>
    </row>
    <row r="946" spans="8:11" x14ac:dyDescent="0.25">
      <c r="H946" s="5"/>
      <c r="J946" s="3"/>
      <c r="K946" s="4"/>
    </row>
    <row r="947" spans="8:11" x14ac:dyDescent="0.25">
      <c r="H947" s="5"/>
      <c r="J947" s="3"/>
      <c r="K947" s="4"/>
    </row>
    <row r="948" spans="8:11" x14ac:dyDescent="0.25">
      <c r="H948" s="5"/>
      <c r="J948" s="3"/>
      <c r="K948" s="4"/>
    </row>
    <row r="949" spans="8:11" x14ac:dyDescent="0.25">
      <c r="H949" s="5"/>
      <c r="J949" s="3"/>
      <c r="K949" s="4"/>
    </row>
    <row r="950" spans="8:11" x14ac:dyDescent="0.25">
      <c r="H950" s="5"/>
      <c r="J950" s="3"/>
      <c r="K950" s="4"/>
    </row>
    <row r="951" spans="8:11" x14ac:dyDescent="0.25">
      <c r="H951" s="5"/>
      <c r="J951" s="3"/>
      <c r="K951" s="4"/>
    </row>
    <row r="952" spans="8:11" x14ac:dyDescent="0.25">
      <c r="H952" s="5"/>
      <c r="J952" s="3"/>
      <c r="K952" s="4"/>
    </row>
    <row r="953" spans="8:11" x14ac:dyDescent="0.25">
      <c r="H953" s="5"/>
      <c r="J953" s="3"/>
      <c r="K953" s="4"/>
    </row>
    <row r="954" spans="8:11" x14ac:dyDescent="0.25">
      <c r="H954" s="5"/>
      <c r="J954" s="3"/>
      <c r="K954" s="4"/>
    </row>
    <row r="955" spans="8:11" x14ac:dyDescent="0.25">
      <c r="H955" s="5"/>
      <c r="J955" s="3"/>
      <c r="K955" s="4"/>
    </row>
    <row r="956" spans="8:11" x14ac:dyDescent="0.25">
      <c r="H956" s="5"/>
      <c r="J956" s="3"/>
      <c r="K956" s="4"/>
    </row>
    <row r="957" spans="8:11" x14ac:dyDescent="0.25">
      <c r="H957" s="5"/>
      <c r="J957" s="3"/>
      <c r="K957" s="4"/>
    </row>
    <row r="958" spans="8:11" x14ac:dyDescent="0.25">
      <c r="H958" s="5"/>
      <c r="J958" s="3"/>
      <c r="K958" s="4"/>
    </row>
    <row r="959" spans="8:11" x14ac:dyDescent="0.25">
      <c r="H959" s="5"/>
      <c r="J959" s="3"/>
      <c r="K959" s="4"/>
    </row>
    <row r="960" spans="8:11" x14ac:dyDescent="0.25">
      <c r="H960" s="5"/>
      <c r="J960" s="3"/>
      <c r="K960" s="4"/>
    </row>
    <row r="961" spans="8:11" x14ac:dyDescent="0.25">
      <c r="H961" s="5"/>
      <c r="J961" s="3"/>
      <c r="K961" s="4"/>
    </row>
    <row r="962" spans="8:11" x14ac:dyDescent="0.25">
      <c r="H962" s="5"/>
      <c r="J962" s="3"/>
      <c r="K962" s="4"/>
    </row>
    <row r="963" spans="8:11" x14ac:dyDescent="0.25">
      <c r="H963" s="5"/>
      <c r="J963" s="3"/>
      <c r="K963" s="4"/>
    </row>
    <row r="964" spans="8:11" x14ac:dyDescent="0.25">
      <c r="H964" s="5"/>
      <c r="J964" s="3"/>
      <c r="K964" s="4"/>
    </row>
    <row r="965" spans="8:11" x14ac:dyDescent="0.25">
      <c r="H965" s="5"/>
      <c r="J965" s="3"/>
      <c r="K965" s="4"/>
    </row>
    <row r="966" spans="8:11" x14ac:dyDescent="0.25">
      <c r="H966" s="5"/>
      <c r="J966" s="3"/>
      <c r="K966" s="4"/>
    </row>
    <row r="967" spans="8:11" x14ac:dyDescent="0.25">
      <c r="H967" s="5"/>
      <c r="J967" s="3"/>
      <c r="K967" s="4"/>
    </row>
    <row r="968" spans="8:11" x14ac:dyDescent="0.25">
      <c r="H968" s="5"/>
      <c r="J968" s="3"/>
      <c r="K968" s="4"/>
    </row>
    <row r="969" spans="8:11" x14ac:dyDescent="0.25">
      <c r="H969" s="5"/>
      <c r="J969" s="3"/>
      <c r="K969" s="4"/>
    </row>
    <row r="970" spans="8:11" x14ac:dyDescent="0.25">
      <c r="H970" s="5"/>
      <c r="J970" s="3"/>
      <c r="K970" s="4"/>
    </row>
    <row r="971" spans="8:11" x14ac:dyDescent="0.25">
      <c r="H971" s="5"/>
      <c r="J971" s="3"/>
      <c r="K971" s="4"/>
    </row>
    <row r="972" spans="8:11" x14ac:dyDescent="0.25">
      <c r="H972" s="5"/>
      <c r="J972" s="3"/>
      <c r="K972" s="4"/>
    </row>
    <row r="973" spans="8:11" x14ac:dyDescent="0.25">
      <c r="H973" s="5"/>
      <c r="J973" s="3"/>
      <c r="K973" s="4"/>
    </row>
    <row r="974" spans="8:11" x14ac:dyDescent="0.25">
      <c r="H974" s="5"/>
      <c r="J974" s="3"/>
      <c r="K974" s="4"/>
    </row>
    <row r="975" spans="8:11" x14ac:dyDescent="0.25">
      <c r="H975" s="5"/>
      <c r="J975" s="3"/>
      <c r="K975" s="4"/>
    </row>
    <row r="976" spans="8:11" x14ac:dyDescent="0.25">
      <c r="H976" s="5"/>
      <c r="J976" s="3"/>
      <c r="K976" s="4"/>
    </row>
    <row r="977" spans="8:11" x14ac:dyDescent="0.25">
      <c r="H977" s="5"/>
      <c r="J977" s="3"/>
      <c r="K977" s="4"/>
    </row>
    <row r="978" spans="8:11" x14ac:dyDescent="0.25">
      <c r="H978" s="5"/>
      <c r="J978" s="3"/>
      <c r="K978" s="4"/>
    </row>
    <row r="979" spans="8:11" x14ac:dyDescent="0.25">
      <c r="H979" s="5"/>
      <c r="J979" s="3"/>
      <c r="K979" s="4"/>
    </row>
    <row r="980" spans="8:11" x14ac:dyDescent="0.25">
      <c r="H980" s="5"/>
      <c r="J980" s="3"/>
      <c r="K980" s="4"/>
    </row>
    <row r="981" spans="8:11" x14ac:dyDescent="0.25">
      <c r="H981" s="5"/>
      <c r="J981" s="3"/>
      <c r="K981" s="4"/>
    </row>
    <row r="982" spans="8:11" x14ac:dyDescent="0.25">
      <c r="H982" s="5"/>
      <c r="J982" s="3"/>
      <c r="K982" s="4"/>
    </row>
    <row r="983" spans="8:11" x14ac:dyDescent="0.25">
      <c r="H983" s="5"/>
      <c r="J983" s="3"/>
      <c r="K983" s="4"/>
    </row>
    <row r="984" spans="8:11" x14ac:dyDescent="0.25">
      <c r="H984" s="5"/>
      <c r="J984" s="3"/>
      <c r="K984" s="4"/>
    </row>
    <row r="985" spans="8:11" x14ac:dyDescent="0.25">
      <c r="H985" s="5"/>
      <c r="J985" s="3"/>
      <c r="K985" s="4"/>
    </row>
    <row r="986" spans="8:11" x14ac:dyDescent="0.25">
      <c r="H986" s="5"/>
      <c r="J986" s="3"/>
      <c r="K986" s="4"/>
    </row>
    <row r="987" spans="8:11" x14ac:dyDescent="0.25">
      <c r="H987" s="5"/>
      <c r="J987" s="3"/>
      <c r="K987" s="4"/>
    </row>
    <row r="988" spans="8:11" x14ac:dyDescent="0.25">
      <c r="H988" s="5"/>
      <c r="J988" s="3"/>
      <c r="K988" s="4"/>
    </row>
    <row r="989" spans="8:11" x14ac:dyDescent="0.25">
      <c r="H989" s="5"/>
      <c r="J989" s="3"/>
      <c r="K989" s="4"/>
    </row>
    <row r="990" spans="8:11" x14ac:dyDescent="0.25">
      <c r="H990" s="5"/>
      <c r="J990" s="3"/>
      <c r="K990" s="4"/>
    </row>
    <row r="991" spans="8:11" x14ac:dyDescent="0.25">
      <c r="H991" s="5"/>
      <c r="J991" s="3"/>
      <c r="K991" s="4"/>
    </row>
    <row r="992" spans="8:11" x14ac:dyDescent="0.25">
      <c r="H992" s="5"/>
      <c r="J992" s="3"/>
      <c r="K992" s="4"/>
    </row>
    <row r="993" spans="8:11" x14ac:dyDescent="0.25">
      <c r="H993" s="5"/>
      <c r="J993" s="3"/>
      <c r="K993" s="4"/>
    </row>
    <row r="994" spans="8:11" x14ac:dyDescent="0.25">
      <c r="H994" s="5"/>
      <c r="J994" s="3"/>
      <c r="K994" s="4"/>
    </row>
    <row r="995" spans="8:11" x14ac:dyDescent="0.25">
      <c r="H995" s="5"/>
      <c r="J995" s="3"/>
      <c r="K995" s="4"/>
    </row>
    <row r="996" spans="8:11" x14ac:dyDescent="0.25">
      <c r="H996" s="5"/>
      <c r="J996" s="3"/>
      <c r="K996" s="4"/>
    </row>
    <row r="997" spans="8:11" x14ac:dyDescent="0.25">
      <c r="H997" s="5"/>
      <c r="J997" s="3"/>
      <c r="K997" s="4"/>
    </row>
    <row r="998" spans="8:11" x14ac:dyDescent="0.25">
      <c r="H998" s="5"/>
      <c r="J998" s="3"/>
      <c r="K998" s="4"/>
    </row>
    <row r="999" spans="8:11" x14ac:dyDescent="0.25">
      <c r="H999" s="5"/>
      <c r="J999" s="3"/>
      <c r="K999" s="4"/>
    </row>
    <row r="1000" spans="8:11" x14ac:dyDescent="0.25">
      <c r="H1000" s="5"/>
      <c r="J1000" s="3"/>
      <c r="K1000" s="4"/>
    </row>
  </sheetData>
  <mergeCells count="5">
    <mergeCell ref="A2:I2"/>
    <mergeCell ref="A11:I11"/>
    <mergeCell ref="A20:I20"/>
    <mergeCell ref="A29:I29"/>
    <mergeCell ref="A38:I38"/>
  </mergeCells>
  <conditionalFormatting sqref="A3:I46">
    <cfRule type="colorScale" priority="1">
      <colorScale>
        <cfvo type="percent" val="0"/>
        <cfvo type="percent" val="50"/>
        <cfvo type="percent" val="100"/>
        <color rgb="FFE06666"/>
        <color rgb="FFFFD966"/>
        <color rgb="FF93C47D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1"/>
  <sheetViews>
    <sheetView workbookViewId="0">
      <selection activeCell="I17" sqref="I17"/>
    </sheetView>
  </sheetViews>
  <sheetFormatPr defaultColWidth="12.6640625" defaultRowHeight="13.2" x14ac:dyDescent="0.25"/>
  <cols>
    <col min="1" max="1" width="26.44140625" customWidth="1"/>
    <col min="2" max="2" width="11" customWidth="1"/>
    <col min="3" max="3" width="18.6640625" customWidth="1"/>
    <col min="4" max="4" width="20.6640625" customWidth="1"/>
    <col min="5" max="5" width="19.5546875" customWidth="1"/>
    <col min="6" max="6" width="19" customWidth="1"/>
    <col min="7" max="8" width="17.5546875" customWidth="1"/>
    <col min="9" max="10" width="26.44140625" customWidth="1"/>
  </cols>
  <sheetData>
    <row r="1" spans="1:10" ht="12.6" customHeight="1" x14ac:dyDescent="0.25">
      <c r="A1" s="36" t="s">
        <v>28</v>
      </c>
      <c r="B1" s="36" t="s">
        <v>29</v>
      </c>
      <c r="C1" s="36" t="s">
        <v>30</v>
      </c>
      <c r="D1" s="36" t="s">
        <v>31</v>
      </c>
      <c r="E1" s="36" t="s">
        <v>32</v>
      </c>
      <c r="F1" s="36" t="s">
        <v>33</v>
      </c>
      <c r="G1" s="36" t="s">
        <v>34</v>
      </c>
      <c r="H1" s="36" t="s">
        <v>35</v>
      </c>
      <c r="I1" s="36" t="s">
        <v>36</v>
      </c>
      <c r="J1" s="36" t="s">
        <v>37</v>
      </c>
    </row>
    <row r="2" spans="1:10" ht="12.6" customHeight="1" x14ac:dyDescent="0.25">
      <c r="A2" s="33" t="s">
        <v>38</v>
      </c>
      <c r="B2" s="33" t="s">
        <v>1</v>
      </c>
      <c r="C2" s="34">
        <v>47.3</v>
      </c>
      <c r="D2" s="34">
        <v>28.6</v>
      </c>
      <c r="E2" s="34">
        <v>28.6</v>
      </c>
      <c r="F2" s="34">
        <v>23.8</v>
      </c>
      <c r="G2" s="35">
        <v>0.56999999999999995</v>
      </c>
      <c r="H2" s="35">
        <v>0.24</v>
      </c>
      <c r="I2" s="35" t="s">
        <v>3</v>
      </c>
      <c r="J2" s="35" t="s">
        <v>8</v>
      </c>
    </row>
    <row r="3" spans="1:10" ht="12.6" customHeight="1" x14ac:dyDescent="0.25">
      <c r="A3" s="33" t="s">
        <v>38</v>
      </c>
      <c r="B3" s="35" t="s">
        <v>23</v>
      </c>
      <c r="C3" s="34">
        <v>37.4</v>
      </c>
      <c r="D3" s="34">
        <v>23.8</v>
      </c>
      <c r="E3" s="34">
        <v>9.5</v>
      </c>
      <c r="F3" s="34">
        <v>28.6</v>
      </c>
      <c r="G3" s="35">
        <v>0.70899999999999996</v>
      </c>
      <c r="H3" s="35">
        <v>0.25600000000000001</v>
      </c>
      <c r="I3" s="35" t="s">
        <v>5</v>
      </c>
      <c r="J3" s="35" t="s">
        <v>8</v>
      </c>
    </row>
    <row r="4" spans="1:10" ht="12.6" customHeight="1" x14ac:dyDescent="0.25">
      <c r="A4" s="33" t="s">
        <v>38</v>
      </c>
      <c r="B4" s="35" t="s">
        <v>24</v>
      </c>
      <c r="C4" s="34">
        <v>33.1</v>
      </c>
      <c r="D4" s="34">
        <v>19</v>
      </c>
      <c r="E4" s="34">
        <v>9.5</v>
      </c>
      <c r="F4" s="34">
        <v>47.6</v>
      </c>
      <c r="G4" s="35">
        <v>0.81399999999999995</v>
      </c>
      <c r="H4" s="35">
        <v>0.27500000000000002</v>
      </c>
      <c r="I4" s="35" t="s">
        <v>5</v>
      </c>
      <c r="J4" s="35" t="s">
        <v>8</v>
      </c>
    </row>
    <row r="5" spans="1:10" ht="12.6" customHeight="1" x14ac:dyDescent="0.25">
      <c r="A5" s="33" t="s">
        <v>38</v>
      </c>
      <c r="B5" s="35" t="s">
        <v>25</v>
      </c>
      <c r="C5" s="34">
        <v>26.9</v>
      </c>
      <c r="D5" s="34">
        <v>19</v>
      </c>
      <c r="E5" s="34">
        <v>9.5</v>
      </c>
      <c r="F5" s="34">
        <v>66.7</v>
      </c>
      <c r="G5" s="35">
        <v>0.88500000000000001</v>
      </c>
      <c r="H5" s="35">
        <v>0.29099999999999998</v>
      </c>
      <c r="I5" s="35" t="s">
        <v>5</v>
      </c>
      <c r="J5" s="35" t="s">
        <v>8</v>
      </c>
    </row>
    <row r="6" spans="1:10" ht="12.6" customHeight="1" x14ac:dyDescent="0.25">
      <c r="A6" s="33" t="s">
        <v>38</v>
      </c>
      <c r="B6" s="33" t="s">
        <v>26</v>
      </c>
      <c r="C6" s="34">
        <v>23.7</v>
      </c>
      <c r="D6" s="34">
        <v>19</v>
      </c>
      <c r="E6" s="34">
        <v>9.5</v>
      </c>
      <c r="F6" s="34">
        <v>71.400000000000006</v>
      </c>
      <c r="G6" s="35">
        <v>0.91400000000000003</v>
      </c>
      <c r="H6" s="35">
        <v>0.29899999999999999</v>
      </c>
      <c r="I6" s="35" t="s">
        <v>5</v>
      </c>
      <c r="J6" s="35" t="s">
        <v>8</v>
      </c>
    </row>
    <row r="7" spans="1:10" ht="12.6" customHeight="1" x14ac:dyDescent="0.25">
      <c r="A7" s="33" t="s">
        <v>39</v>
      </c>
      <c r="B7" s="33" t="s">
        <v>1</v>
      </c>
      <c r="C7" s="34">
        <v>13</v>
      </c>
      <c r="D7" s="34">
        <v>4.8</v>
      </c>
      <c r="E7" s="34">
        <v>4.8</v>
      </c>
      <c r="F7" s="34">
        <v>76.2</v>
      </c>
      <c r="G7" s="35">
        <v>0.86699999999999999</v>
      </c>
      <c r="H7" s="35">
        <v>0.316</v>
      </c>
      <c r="I7" s="35" t="s">
        <v>7</v>
      </c>
      <c r="J7" s="35" t="s">
        <v>6</v>
      </c>
    </row>
    <row r="8" spans="1:10" ht="12.6" customHeight="1" x14ac:dyDescent="0.25">
      <c r="A8" s="33" t="s">
        <v>39</v>
      </c>
      <c r="B8" s="33" t="s">
        <v>23</v>
      </c>
      <c r="C8" s="34">
        <v>16.5</v>
      </c>
      <c r="D8" s="34">
        <v>4.8</v>
      </c>
      <c r="E8" s="34">
        <v>4.8</v>
      </c>
      <c r="F8" s="34">
        <v>71.400000000000006</v>
      </c>
      <c r="G8" s="35">
        <v>0.83699999999999997</v>
      </c>
      <c r="H8" s="35">
        <v>0.30599999999999999</v>
      </c>
      <c r="I8" s="35" t="s">
        <v>7</v>
      </c>
      <c r="J8" s="35" t="s">
        <v>5</v>
      </c>
    </row>
    <row r="9" spans="1:10" ht="12.6" customHeight="1" x14ac:dyDescent="0.25">
      <c r="A9" s="33" t="s">
        <v>39</v>
      </c>
      <c r="B9" s="33" t="s">
        <v>24</v>
      </c>
      <c r="C9" s="34">
        <v>24.4</v>
      </c>
      <c r="D9" s="34">
        <v>9.5</v>
      </c>
      <c r="E9" s="34">
        <v>4.8</v>
      </c>
      <c r="F9" s="34">
        <v>61.9</v>
      </c>
      <c r="G9" s="35">
        <v>0.82099999999999995</v>
      </c>
      <c r="H9" s="35">
        <v>0.27700000000000002</v>
      </c>
      <c r="I9" s="35" t="s">
        <v>7</v>
      </c>
      <c r="J9" s="35" t="s">
        <v>6</v>
      </c>
    </row>
    <row r="10" spans="1:10" ht="12.6" customHeight="1" x14ac:dyDescent="0.25">
      <c r="A10" s="33" t="s">
        <v>39</v>
      </c>
      <c r="B10" s="33" t="s">
        <v>25</v>
      </c>
      <c r="C10" s="34">
        <v>20.399999999999999</v>
      </c>
      <c r="D10" s="34">
        <v>4.8</v>
      </c>
      <c r="E10" s="34">
        <v>0</v>
      </c>
      <c r="F10" s="34">
        <v>61.9</v>
      </c>
      <c r="G10" s="35">
        <v>0.86</v>
      </c>
      <c r="H10" s="35">
        <v>0.27100000000000002</v>
      </c>
      <c r="I10" s="35" t="s">
        <v>7</v>
      </c>
      <c r="J10" s="35" t="s">
        <v>6</v>
      </c>
    </row>
    <row r="11" spans="1:10" ht="12.6" customHeight="1" x14ac:dyDescent="0.25">
      <c r="A11" s="33" t="s">
        <v>39</v>
      </c>
      <c r="B11" s="33" t="s">
        <v>26</v>
      </c>
      <c r="C11" s="34">
        <v>14.4</v>
      </c>
      <c r="D11" s="34">
        <v>4.8</v>
      </c>
      <c r="E11" s="34">
        <v>0</v>
      </c>
      <c r="F11" s="34">
        <v>76.2</v>
      </c>
      <c r="G11" s="35">
        <v>0.82599999999999996</v>
      </c>
      <c r="H11" s="35">
        <v>0.29699999999999999</v>
      </c>
      <c r="I11" s="35" t="s">
        <v>5</v>
      </c>
      <c r="J11" s="35" t="s">
        <v>6</v>
      </c>
    </row>
    <row r="12" spans="1:10" ht="12.6" customHeight="1" x14ac:dyDescent="0.25">
      <c r="A12" s="33" t="s">
        <v>40</v>
      </c>
      <c r="B12" s="33" t="s">
        <v>1</v>
      </c>
      <c r="C12" s="34">
        <v>28.6</v>
      </c>
      <c r="D12" s="34">
        <v>28.6</v>
      </c>
      <c r="E12" s="34">
        <v>4.8</v>
      </c>
      <c r="F12" s="34">
        <v>57.1</v>
      </c>
      <c r="G12" s="35">
        <v>0.84099999999999997</v>
      </c>
      <c r="H12" s="35">
        <v>0.246</v>
      </c>
      <c r="I12" s="35" t="s">
        <v>7</v>
      </c>
      <c r="J12" s="35" t="s">
        <v>5</v>
      </c>
    </row>
    <row r="13" spans="1:10" ht="12.6" customHeight="1" x14ac:dyDescent="0.25">
      <c r="A13" s="33" t="s">
        <v>40</v>
      </c>
      <c r="B13" s="33" t="s">
        <v>23</v>
      </c>
      <c r="C13" s="34">
        <v>41.9</v>
      </c>
      <c r="D13" s="34">
        <v>38.1</v>
      </c>
      <c r="E13" s="34">
        <v>4.8</v>
      </c>
      <c r="F13" s="34">
        <v>38.1</v>
      </c>
      <c r="G13" s="35">
        <v>0.58299999999999996</v>
      </c>
      <c r="H13" s="35">
        <v>0.2</v>
      </c>
      <c r="I13" s="35" t="s">
        <v>7</v>
      </c>
      <c r="J13" s="35" t="s">
        <v>8</v>
      </c>
    </row>
    <row r="14" spans="1:10" ht="12.6" customHeight="1" x14ac:dyDescent="0.25">
      <c r="A14" s="33" t="s">
        <v>40</v>
      </c>
      <c r="B14" s="33" t="s">
        <v>24</v>
      </c>
      <c r="C14" s="34">
        <v>45.3</v>
      </c>
      <c r="D14" s="34">
        <v>28.6</v>
      </c>
      <c r="E14" s="34">
        <v>23.8</v>
      </c>
      <c r="F14" s="34">
        <v>28.6</v>
      </c>
      <c r="G14" s="35">
        <v>0.51</v>
      </c>
      <c r="H14" s="35">
        <v>0.16600000000000001</v>
      </c>
      <c r="I14" s="35" t="s">
        <v>6</v>
      </c>
      <c r="J14" s="35" t="s">
        <v>8</v>
      </c>
    </row>
    <row r="15" spans="1:10" ht="12.6" customHeight="1" x14ac:dyDescent="0.25">
      <c r="A15" s="33" t="s">
        <v>40</v>
      </c>
      <c r="B15" s="33" t="s">
        <v>25</v>
      </c>
      <c r="C15" s="34">
        <v>34.4</v>
      </c>
      <c r="D15" s="34">
        <v>19</v>
      </c>
      <c r="E15" s="34">
        <v>4.8</v>
      </c>
      <c r="F15" s="34">
        <v>42.9</v>
      </c>
      <c r="G15" s="35">
        <v>0.56899999999999995</v>
      </c>
      <c r="H15" s="35">
        <v>0.182</v>
      </c>
      <c r="I15" s="35" t="s">
        <v>6</v>
      </c>
      <c r="J15" s="35" t="s">
        <v>8</v>
      </c>
    </row>
    <row r="16" spans="1:10" ht="12.6" customHeight="1" x14ac:dyDescent="0.25">
      <c r="A16" s="33" t="s">
        <v>40</v>
      </c>
      <c r="B16" s="33" t="s">
        <v>26</v>
      </c>
      <c r="C16" s="34">
        <v>32.9</v>
      </c>
      <c r="D16" s="34">
        <v>23.8</v>
      </c>
      <c r="E16" s="34">
        <v>19</v>
      </c>
      <c r="F16" s="34">
        <v>47.6</v>
      </c>
      <c r="G16" s="35">
        <v>0.80800000000000005</v>
      </c>
      <c r="H16" s="35">
        <v>0.23200000000000001</v>
      </c>
      <c r="I16" s="35" t="s">
        <v>5</v>
      </c>
      <c r="J16" s="35" t="s">
        <v>8</v>
      </c>
    </row>
    <row r="17" spans="1:10" ht="12.6" customHeight="1" x14ac:dyDescent="0.25">
      <c r="A17" s="33" t="s">
        <v>41</v>
      </c>
      <c r="B17" s="33" t="s">
        <v>1</v>
      </c>
      <c r="C17" s="34">
        <v>5.9</v>
      </c>
      <c r="D17" s="34">
        <v>0</v>
      </c>
      <c r="E17" s="34">
        <v>0</v>
      </c>
      <c r="F17" s="34">
        <v>85.7</v>
      </c>
      <c r="G17" s="35">
        <v>0.89500000000000002</v>
      </c>
      <c r="H17" s="35">
        <v>0.32300000000000001</v>
      </c>
      <c r="I17" s="35" t="s">
        <v>7</v>
      </c>
      <c r="J17" s="35" t="s">
        <v>8</v>
      </c>
    </row>
    <row r="18" spans="1:10" ht="12.6" customHeight="1" x14ac:dyDescent="0.25">
      <c r="A18" s="33" t="s">
        <v>41</v>
      </c>
      <c r="B18" s="33" t="s">
        <v>23</v>
      </c>
      <c r="C18" s="34">
        <v>11.1</v>
      </c>
      <c r="D18" s="34">
        <v>4.8</v>
      </c>
      <c r="E18" s="34">
        <v>0</v>
      </c>
      <c r="F18" s="34">
        <v>76.2</v>
      </c>
      <c r="G18" s="35">
        <v>0.92300000000000004</v>
      </c>
      <c r="H18" s="35">
        <v>0.309</v>
      </c>
      <c r="I18" s="35" t="s">
        <v>7</v>
      </c>
      <c r="J18" s="35" t="s">
        <v>8</v>
      </c>
    </row>
    <row r="19" spans="1:10" ht="12.6" customHeight="1" x14ac:dyDescent="0.25">
      <c r="A19" s="33" t="s">
        <v>41</v>
      </c>
      <c r="B19" s="33" t="s">
        <v>24</v>
      </c>
      <c r="C19" s="34">
        <v>18.399999999999999</v>
      </c>
      <c r="D19" s="34">
        <v>9.5</v>
      </c>
      <c r="E19" s="34">
        <v>4.8</v>
      </c>
      <c r="F19" s="34">
        <v>76.2</v>
      </c>
      <c r="G19" s="35">
        <v>0.94099999999999995</v>
      </c>
      <c r="H19" s="35">
        <v>0.28799999999999998</v>
      </c>
      <c r="I19" s="35" t="s">
        <v>7</v>
      </c>
      <c r="J19" s="35" t="s">
        <v>8</v>
      </c>
    </row>
    <row r="20" spans="1:10" ht="12.6" customHeight="1" x14ac:dyDescent="0.25">
      <c r="A20" s="33" t="s">
        <v>41</v>
      </c>
      <c r="B20" s="33" t="s">
        <v>25</v>
      </c>
      <c r="C20" s="34">
        <v>16.2</v>
      </c>
      <c r="D20" s="34">
        <v>4.8</v>
      </c>
      <c r="E20" s="34">
        <v>0</v>
      </c>
      <c r="F20" s="34">
        <v>71.400000000000006</v>
      </c>
      <c r="G20" s="35">
        <v>0.95599999999999996</v>
      </c>
      <c r="H20" s="35">
        <v>0.27600000000000002</v>
      </c>
      <c r="I20" s="35" t="s">
        <v>7</v>
      </c>
      <c r="J20" s="35" t="s">
        <v>8</v>
      </c>
    </row>
    <row r="21" spans="1:10" ht="12.6" customHeight="1" x14ac:dyDescent="0.25">
      <c r="A21" s="33" t="s">
        <v>41</v>
      </c>
      <c r="B21" s="33" t="s">
        <v>26</v>
      </c>
      <c r="C21" s="34">
        <v>15.1</v>
      </c>
      <c r="D21" s="34">
        <v>4.8</v>
      </c>
      <c r="E21" s="34">
        <v>0</v>
      </c>
      <c r="F21" s="34">
        <v>71.400000000000006</v>
      </c>
      <c r="G21" s="35">
        <v>0.85499999999999998</v>
      </c>
      <c r="H21" s="35">
        <v>0.26700000000000002</v>
      </c>
      <c r="I21" s="35" t="s">
        <v>7</v>
      </c>
      <c r="J21" s="35" t="s">
        <v>8</v>
      </c>
    </row>
  </sheetData>
  <conditionalFormatting sqref="C2:C2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2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2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21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2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3"/>
  <sheetViews>
    <sheetView workbookViewId="0">
      <selection activeCell="B3" sqref="B3"/>
    </sheetView>
  </sheetViews>
  <sheetFormatPr defaultRowHeight="13.2" x14ac:dyDescent="0.25"/>
  <cols>
    <col min="1" max="1" width="26.44140625" customWidth="1"/>
    <col min="2" max="2" width="11.5546875" customWidth="1"/>
    <col min="3" max="3" width="30" customWidth="1"/>
    <col min="4" max="4" width="16.44140625" customWidth="1"/>
    <col min="5" max="5" width="22.109375" customWidth="1"/>
    <col min="6" max="6" width="62.109375" customWidth="1"/>
  </cols>
  <sheetData>
    <row r="1" spans="1:6" ht="12" customHeight="1" x14ac:dyDescent="0.25">
      <c r="A1" s="18" t="s">
        <v>42</v>
      </c>
      <c r="B1" s="18" t="s">
        <v>43</v>
      </c>
      <c r="C1" s="18" t="s">
        <v>44</v>
      </c>
      <c r="D1" s="18" t="s">
        <v>45</v>
      </c>
      <c r="E1" s="18" t="s">
        <v>46</v>
      </c>
      <c r="F1" s="18" t="s">
        <v>47</v>
      </c>
    </row>
    <row r="2" spans="1:6" ht="12" customHeight="1" x14ac:dyDescent="0.25">
      <c r="A2" s="12" t="s">
        <v>48</v>
      </c>
      <c r="B2" s="13">
        <v>1</v>
      </c>
      <c r="C2" s="12" t="s">
        <v>49</v>
      </c>
      <c r="D2" s="14">
        <v>13.3</v>
      </c>
      <c r="E2" s="14" t="s">
        <v>50</v>
      </c>
      <c r="F2" s="12" t="s">
        <v>51</v>
      </c>
    </row>
    <row r="3" spans="1:6" ht="12" customHeight="1" x14ac:dyDescent="0.25">
      <c r="A3" s="15" t="s">
        <v>48</v>
      </c>
      <c r="B3" s="16">
        <v>2</v>
      </c>
      <c r="C3" s="15" t="s">
        <v>52</v>
      </c>
      <c r="D3" s="17">
        <v>4.8</v>
      </c>
      <c r="E3" s="17" t="s">
        <v>53</v>
      </c>
      <c r="F3" s="15" t="s">
        <v>54</v>
      </c>
    </row>
    <row r="4" spans="1:6" ht="12" customHeight="1" x14ac:dyDescent="0.25">
      <c r="A4" s="12" t="s">
        <v>48</v>
      </c>
      <c r="B4" s="13">
        <v>3</v>
      </c>
      <c r="C4" s="12" t="s">
        <v>55</v>
      </c>
      <c r="D4" s="14">
        <v>76.2</v>
      </c>
      <c r="E4" s="14" t="s">
        <v>56</v>
      </c>
      <c r="F4" s="12" t="s">
        <v>57</v>
      </c>
    </row>
    <row r="5" spans="1:6" ht="12" customHeight="1" x14ac:dyDescent="0.25">
      <c r="A5" s="12" t="s">
        <v>48</v>
      </c>
      <c r="B5" s="13">
        <v>4</v>
      </c>
      <c r="C5" s="12" t="s">
        <v>58</v>
      </c>
      <c r="D5" s="14">
        <v>0.91400000000000003</v>
      </c>
      <c r="E5" s="14" t="s">
        <v>56</v>
      </c>
      <c r="F5" s="12" t="s">
        <v>59</v>
      </c>
    </row>
    <row r="6" spans="1:6" ht="12" customHeight="1" x14ac:dyDescent="0.25">
      <c r="A6" s="12" t="s">
        <v>60</v>
      </c>
      <c r="B6" s="13">
        <v>1</v>
      </c>
      <c r="C6" s="12" t="s">
        <v>61</v>
      </c>
      <c r="D6" s="14" t="s">
        <v>7</v>
      </c>
      <c r="E6" s="14" t="s">
        <v>62</v>
      </c>
      <c r="F6" s="12" t="s">
        <v>63</v>
      </c>
    </row>
    <row r="7" spans="1:6" ht="12" customHeight="1" x14ac:dyDescent="0.25">
      <c r="A7" s="12" t="s">
        <v>60</v>
      </c>
      <c r="B7" s="13">
        <v>2</v>
      </c>
      <c r="C7" s="12" t="s">
        <v>64</v>
      </c>
      <c r="D7" s="14" t="s">
        <v>8</v>
      </c>
      <c r="E7" s="14" t="s">
        <v>65</v>
      </c>
      <c r="F7" s="12" t="s">
        <v>66</v>
      </c>
    </row>
    <row r="8" spans="1:6" ht="12" customHeight="1" x14ac:dyDescent="0.25">
      <c r="A8" s="12" t="s">
        <v>60</v>
      </c>
      <c r="B8" s="13">
        <v>3</v>
      </c>
      <c r="C8" s="12" t="s">
        <v>67</v>
      </c>
      <c r="D8" s="14" t="s">
        <v>5</v>
      </c>
      <c r="E8" s="14" t="s">
        <v>68</v>
      </c>
      <c r="F8" s="12" t="s">
        <v>69</v>
      </c>
    </row>
    <row r="9" spans="1:6" ht="12" customHeight="1" x14ac:dyDescent="0.25">
      <c r="A9" s="15" t="s">
        <v>70</v>
      </c>
      <c r="B9" s="16">
        <v>1</v>
      </c>
      <c r="C9" s="15" t="s">
        <v>71</v>
      </c>
      <c r="D9" s="17" t="s">
        <v>72</v>
      </c>
      <c r="E9" s="17" t="s">
        <v>73</v>
      </c>
      <c r="F9" s="15" t="s">
        <v>74</v>
      </c>
    </row>
    <row r="10" spans="1:6" ht="12" customHeight="1" x14ac:dyDescent="0.25">
      <c r="A10" s="12" t="s">
        <v>70</v>
      </c>
      <c r="B10" s="13">
        <v>2</v>
      </c>
      <c r="C10" s="12" t="s">
        <v>75</v>
      </c>
      <c r="D10" s="19" t="s">
        <v>76</v>
      </c>
      <c r="E10" s="14" t="s">
        <v>77</v>
      </c>
      <c r="F10" s="12" t="s">
        <v>78</v>
      </c>
    </row>
    <row r="11" spans="1:6" ht="12" customHeight="1" x14ac:dyDescent="0.25">
      <c r="A11" s="12" t="s">
        <v>79</v>
      </c>
      <c r="B11" s="13">
        <v>1</v>
      </c>
      <c r="C11" s="12" t="s">
        <v>80</v>
      </c>
      <c r="D11" s="19" t="s">
        <v>81</v>
      </c>
      <c r="E11" s="12" t="s">
        <v>82</v>
      </c>
      <c r="F11" s="12" t="s">
        <v>83</v>
      </c>
    </row>
    <row r="12" spans="1:6" ht="12" customHeight="1" x14ac:dyDescent="0.25">
      <c r="A12" s="12" t="s">
        <v>79</v>
      </c>
      <c r="B12" s="13">
        <v>2</v>
      </c>
      <c r="C12" s="12" t="s">
        <v>84</v>
      </c>
      <c r="D12" s="19" t="s">
        <v>85</v>
      </c>
      <c r="E12" s="12" t="s">
        <v>86</v>
      </c>
      <c r="F12" s="12" t="s">
        <v>87</v>
      </c>
    </row>
    <row r="13" spans="1:6" ht="12" customHeight="1" x14ac:dyDescent="0.25">
      <c r="A13" s="12" t="s">
        <v>79</v>
      </c>
      <c r="B13" s="13">
        <v>3</v>
      </c>
      <c r="C13" s="12" t="s">
        <v>88</v>
      </c>
      <c r="D13" s="19" t="s">
        <v>89</v>
      </c>
      <c r="E13" s="12" t="s">
        <v>90</v>
      </c>
      <c r="F13" s="12" t="s">
        <v>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29"/>
  <sheetViews>
    <sheetView topLeftCell="A4" workbookViewId="0"/>
  </sheetViews>
  <sheetFormatPr defaultRowHeight="13.2" x14ac:dyDescent="0.25"/>
  <cols>
    <col min="1" max="1" width="26.44140625" customWidth="1"/>
    <col min="2" max="2" width="15" customWidth="1"/>
    <col min="3" max="7" width="11.88671875" customWidth="1"/>
    <col min="8" max="9" width="13" customWidth="1"/>
    <col min="10" max="11" width="12.109375" customWidth="1"/>
    <col min="12" max="12" width="10.6640625" customWidth="1"/>
    <col min="13" max="13" width="13.5546875" customWidth="1"/>
    <col min="14" max="14" width="11.88671875" customWidth="1"/>
    <col min="15" max="15" width="14.6640625" customWidth="1"/>
  </cols>
  <sheetData>
    <row r="1" spans="1:15" ht="12" customHeight="1" x14ac:dyDescent="0.25">
      <c r="A1" s="15" t="s">
        <v>92</v>
      </c>
      <c r="B1" s="15" t="s">
        <v>93</v>
      </c>
      <c r="C1" s="15" t="s">
        <v>94</v>
      </c>
      <c r="D1" s="15" t="s">
        <v>95</v>
      </c>
      <c r="E1" s="15" t="s">
        <v>96</v>
      </c>
      <c r="F1" s="15" t="s">
        <v>97</v>
      </c>
      <c r="G1" s="15" t="s">
        <v>98</v>
      </c>
      <c r="H1" s="15" t="s">
        <v>99</v>
      </c>
      <c r="I1" s="15" t="s">
        <v>100</v>
      </c>
      <c r="J1" s="15" t="s">
        <v>101</v>
      </c>
      <c r="K1" s="15" t="s">
        <v>102</v>
      </c>
      <c r="L1" s="15" t="s">
        <v>103</v>
      </c>
      <c r="M1" s="15" t="s">
        <v>104</v>
      </c>
      <c r="N1" s="15" t="s">
        <v>105</v>
      </c>
      <c r="O1" s="15" t="s">
        <v>106</v>
      </c>
    </row>
    <row r="2" spans="1:15" ht="12" customHeight="1" x14ac:dyDescent="0.25">
      <c r="A2" s="12" t="s">
        <v>38</v>
      </c>
      <c r="B2" s="12" t="s">
        <v>9</v>
      </c>
      <c r="C2" s="19">
        <v>0.318</v>
      </c>
      <c r="D2" s="19">
        <v>0.31</v>
      </c>
      <c r="E2" s="19">
        <v>0.315</v>
      </c>
      <c r="F2" s="19">
        <v>0.30099999999999999</v>
      </c>
      <c r="G2" s="19">
        <v>0.29799999999999999</v>
      </c>
      <c r="H2" s="19">
        <v>0.308</v>
      </c>
      <c r="I2" s="19">
        <v>-0.02</v>
      </c>
      <c r="J2" s="19">
        <v>0.27800000000000002</v>
      </c>
      <c r="K2" s="13">
        <v>5</v>
      </c>
      <c r="L2" s="13">
        <v>0</v>
      </c>
      <c r="M2" s="13">
        <v>25</v>
      </c>
      <c r="N2" s="13">
        <v>2</v>
      </c>
      <c r="O2" s="13">
        <v>6</v>
      </c>
    </row>
    <row r="3" spans="1:15" ht="12" customHeight="1" x14ac:dyDescent="0.25">
      <c r="A3" s="12" t="s">
        <v>38</v>
      </c>
      <c r="B3" s="12" t="s">
        <v>2</v>
      </c>
      <c r="C3" s="19">
        <v>0.219</v>
      </c>
      <c r="D3" s="19">
        <v>0.24399999999999999</v>
      </c>
      <c r="E3" s="19">
        <v>0.23</v>
      </c>
      <c r="F3" s="19">
        <v>0.217</v>
      </c>
      <c r="G3" s="19">
        <v>0.20499999999999999</v>
      </c>
      <c r="H3" s="19">
        <v>0.223</v>
      </c>
      <c r="I3" s="19">
        <v>-1.4E-2</v>
      </c>
      <c r="J3" s="19">
        <v>0.25900000000000001</v>
      </c>
      <c r="K3" s="13">
        <v>10</v>
      </c>
      <c r="L3" s="13">
        <v>0</v>
      </c>
      <c r="M3" s="13">
        <v>20</v>
      </c>
      <c r="N3" s="13">
        <v>0</v>
      </c>
      <c r="O3" s="13">
        <v>16</v>
      </c>
    </row>
    <row r="4" spans="1:15" ht="12" customHeight="1" x14ac:dyDescent="0.25">
      <c r="A4" s="12" t="s">
        <v>38</v>
      </c>
      <c r="B4" s="12" t="s">
        <v>3</v>
      </c>
      <c r="C4" s="19">
        <v>0.71599999999999997</v>
      </c>
      <c r="D4" s="19">
        <v>0.63600000000000001</v>
      </c>
      <c r="E4" s="19">
        <v>0.60899999999999999</v>
      </c>
      <c r="F4" s="19">
        <v>0.61599999999999999</v>
      </c>
      <c r="G4" s="19">
        <v>0.624</v>
      </c>
      <c r="H4" s="19">
        <v>0.64</v>
      </c>
      <c r="I4" s="19">
        <v>-9.1999999999999998E-2</v>
      </c>
      <c r="J4" s="19">
        <v>0.30599999999999999</v>
      </c>
      <c r="K4" s="13">
        <v>15</v>
      </c>
      <c r="L4" s="13">
        <v>11</v>
      </c>
      <c r="M4" s="13">
        <v>4</v>
      </c>
      <c r="N4" s="13">
        <v>8</v>
      </c>
      <c r="O4" s="13">
        <v>3</v>
      </c>
    </row>
    <row r="5" spans="1:15" ht="12" customHeight="1" x14ac:dyDescent="0.25">
      <c r="A5" s="12" t="s">
        <v>38</v>
      </c>
      <c r="B5" s="12" t="s">
        <v>7</v>
      </c>
      <c r="C5" s="19">
        <v>0.70099999999999996</v>
      </c>
      <c r="D5" s="19">
        <v>0.57799999999999996</v>
      </c>
      <c r="E5" s="19">
        <v>0.53500000000000003</v>
      </c>
      <c r="F5" s="19">
        <v>0.53700000000000003</v>
      </c>
      <c r="G5" s="19">
        <v>0.54200000000000004</v>
      </c>
      <c r="H5" s="19">
        <v>0.57899999999999996</v>
      </c>
      <c r="I5" s="19">
        <v>-0.159</v>
      </c>
      <c r="J5" s="19">
        <v>0.34899999999999998</v>
      </c>
      <c r="K5" s="13">
        <v>15</v>
      </c>
      <c r="L5" s="13">
        <v>7</v>
      </c>
      <c r="M5" s="13">
        <v>8</v>
      </c>
      <c r="N5" s="13">
        <v>7</v>
      </c>
      <c r="O5" s="13">
        <v>5</v>
      </c>
    </row>
    <row r="6" spans="1:15" ht="12" customHeight="1" x14ac:dyDescent="0.25">
      <c r="A6" s="12" t="s">
        <v>38</v>
      </c>
      <c r="B6" s="12" t="s">
        <v>8</v>
      </c>
      <c r="C6" s="19">
        <v>0.14599999999999999</v>
      </c>
      <c r="D6" s="19">
        <v>0.121</v>
      </c>
      <c r="E6" s="19">
        <v>0.111</v>
      </c>
      <c r="F6" s="19">
        <v>9.4E-2</v>
      </c>
      <c r="G6" s="19">
        <v>8.5000000000000006E-2</v>
      </c>
      <c r="H6" s="19">
        <v>0.111</v>
      </c>
      <c r="I6" s="19">
        <v>-0.06</v>
      </c>
      <c r="J6" s="19">
        <v>0.14799999999999999</v>
      </c>
      <c r="K6" s="13">
        <v>0</v>
      </c>
      <c r="L6" s="13">
        <v>0</v>
      </c>
      <c r="M6" s="13">
        <v>30</v>
      </c>
      <c r="N6" s="13">
        <v>0</v>
      </c>
      <c r="O6" s="13">
        <v>19</v>
      </c>
    </row>
    <row r="7" spans="1:15" ht="12" customHeight="1" x14ac:dyDescent="0.25">
      <c r="A7" s="12" t="s">
        <v>38</v>
      </c>
      <c r="B7" s="12" t="s">
        <v>5</v>
      </c>
      <c r="C7" s="19">
        <v>0.7</v>
      </c>
      <c r="D7" s="19">
        <v>0.83</v>
      </c>
      <c r="E7" s="19">
        <v>0.92500000000000004</v>
      </c>
      <c r="F7" s="19">
        <v>0.97899999999999998</v>
      </c>
      <c r="G7" s="19">
        <v>1</v>
      </c>
      <c r="H7" s="19">
        <v>0.88700000000000001</v>
      </c>
      <c r="I7" s="19">
        <v>0.29899999999999999</v>
      </c>
      <c r="J7" s="19">
        <v>0.17899999999999999</v>
      </c>
      <c r="K7" s="13">
        <v>26</v>
      </c>
      <c r="L7" s="13">
        <v>3</v>
      </c>
      <c r="M7" s="13">
        <v>1</v>
      </c>
      <c r="N7" s="13">
        <v>19</v>
      </c>
      <c r="O7" s="13">
        <v>0</v>
      </c>
    </row>
    <row r="8" spans="1:15" ht="12" customHeight="1" x14ac:dyDescent="0.25">
      <c r="A8" s="12" t="s">
        <v>38</v>
      </c>
      <c r="B8" s="12" t="s">
        <v>6</v>
      </c>
      <c r="C8" s="19">
        <v>0.7</v>
      </c>
      <c r="D8" s="19">
        <v>0.78200000000000003</v>
      </c>
      <c r="E8" s="19">
        <v>0.77500000000000002</v>
      </c>
      <c r="F8" s="19">
        <v>0.75600000000000001</v>
      </c>
      <c r="G8" s="19">
        <v>0.746</v>
      </c>
      <c r="H8" s="19">
        <v>0.752</v>
      </c>
      <c r="I8" s="19">
        <v>4.5999999999999999E-2</v>
      </c>
      <c r="J8" s="19">
        <v>0.28399999999999997</v>
      </c>
      <c r="K8" s="13">
        <v>20</v>
      </c>
      <c r="L8" s="13">
        <v>7</v>
      </c>
      <c r="M8" s="13">
        <v>3</v>
      </c>
      <c r="N8" s="13">
        <v>14</v>
      </c>
      <c r="O8" s="13">
        <v>1</v>
      </c>
    </row>
    <row r="9" spans="1:15" ht="12" customHeight="1" x14ac:dyDescent="0.25">
      <c r="A9" s="12" t="s">
        <v>39</v>
      </c>
      <c r="B9" s="12" t="s">
        <v>9</v>
      </c>
      <c r="C9" s="19">
        <v>0.83299999999999996</v>
      </c>
      <c r="D9" s="19">
        <v>0.83799999999999997</v>
      </c>
      <c r="E9" s="19">
        <v>0.81399999999999995</v>
      </c>
      <c r="F9" s="19">
        <v>0.76</v>
      </c>
      <c r="G9" s="19">
        <v>0.69399999999999995</v>
      </c>
      <c r="H9" s="19">
        <v>0.78800000000000003</v>
      </c>
      <c r="I9" s="19">
        <v>-0.13900000000000001</v>
      </c>
      <c r="J9" s="19">
        <v>0.32400000000000001</v>
      </c>
      <c r="K9" s="13">
        <v>23</v>
      </c>
      <c r="L9" s="13">
        <v>0</v>
      </c>
      <c r="M9" s="13">
        <v>7</v>
      </c>
      <c r="N9" s="13">
        <v>19</v>
      </c>
      <c r="O9" s="13">
        <v>1</v>
      </c>
    </row>
    <row r="10" spans="1:15" ht="12" customHeight="1" x14ac:dyDescent="0.25">
      <c r="A10" s="12" t="s">
        <v>39</v>
      </c>
      <c r="B10" s="12" t="s">
        <v>2</v>
      </c>
      <c r="C10" s="19">
        <v>0.38800000000000001</v>
      </c>
      <c r="D10" s="19">
        <v>0.377</v>
      </c>
      <c r="E10" s="19">
        <v>0.36299999999999999</v>
      </c>
      <c r="F10" s="19">
        <v>0.34499999999999997</v>
      </c>
      <c r="G10" s="19">
        <v>0.25700000000000001</v>
      </c>
      <c r="H10" s="19">
        <v>0.34599999999999997</v>
      </c>
      <c r="I10" s="19">
        <v>-0.13100000000000001</v>
      </c>
      <c r="J10" s="19">
        <v>0.41599999999999998</v>
      </c>
      <c r="K10" s="13">
        <v>9</v>
      </c>
      <c r="L10" s="13">
        <v>0</v>
      </c>
      <c r="M10" s="13">
        <v>21</v>
      </c>
      <c r="N10" s="13">
        <v>8</v>
      </c>
      <c r="O10" s="13">
        <v>15</v>
      </c>
    </row>
    <row r="11" spans="1:15" ht="12" customHeight="1" x14ac:dyDescent="0.25">
      <c r="A11" s="12" t="s">
        <v>39</v>
      </c>
      <c r="B11" s="12" t="s">
        <v>3</v>
      </c>
      <c r="C11" s="19">
        <v>0.65800000000000003</v>
      </c>
      <c r="D11" s="19">
        <v>0.66</v>
      </c>
      <c r="E11" s="19">
        <v>0.60799999999999998</v>
      </c>
      <c r="F11" s="19">
        <v>0.54500000000000004</v>
      </c>
      <c r="G11" s="19">
        <v>0.501</v>
      </c>
      <c r="H11" s="19">
        <v>0.59499999999999997</v>
      </c>
      <c r="I11" s="19">
        <v>-0.157</v>
      </c>
      <c r="J11" s="19">
        <v>0.47199999999999998</v>
      </c>
      <c r="K11" s="13">
        <v>18</v>
      </c>
      <c r="L11" s="13">
        <v>0</v>
      </c>
      <c r="M11" s="13">
        <v>12</v>
      </c>
      <c r="N11" s="13">
        <v>17</v>
      </c>
      <c r="O11" s="13">
        <v>11</v>
      </c>
    </row>
    <row r="12" spans="1:15" ht="12" customHeight="1" x14ac:dyDescent="0.25">
      <c r="A12" s="12" t="s">
        <v>39</v>
      </c>
      <c r="B12" s="12" t="s">
        <v>7</v>
      </c>
      <c r="C12" s="19">
        <v>0.95</v>
      </c>
      <c r="D12" s="19">
        <v>0.95499999999999996</v>
      </c>
      <c r="E12" s="19">
        <v>0.94899999999999995</v>
      </c>
      <c r="F12" s="19">
        <v>0.95599999999999996</v>
      </c>
      <c r="G12" s="19">
        <v>0.85399999999999998</v>
      </c>
      <c r="H12" s="19">
        <v>0.93300000000000005</v>
      </c>
      <c r="I12" s="19">
        <v>-9.6000000000000002E-2</v>
      </c>
      <c r="J12" s="19">
        <v>0.13600000000000001</v>
      </c>
      <c r="K12" s="13">
        <v>29</v>
      </c>
      <c r="L12" s="13">
        <v>0</v>
      </c>
      <c r="M12" s="13">
        <v>1</v>
      </c>
      <c r="N12" s="13">
        <v>23</v>
      </c>
      <c r="O12" s="13">
        <v>0</v>
      </c>
    </row>
    <row r="13" spans="1:15" ht="12" customHeight="1" x14ac:dyDescent="0.25">
      <c r="A13" s="12" t="s">
        <v>39</v>
      </c>
      <c r="B13" s="12" t="s">
        <v>8</v>
      </c>
      <c r="C13" s="19">
        <v>0.503</v>
      </c>
      <c r="D13" s="19">
        <v>0.42499999999999999</v>
      </c>
      <c r="E13" s="19">
        <v>0.35899999999999999</v>
      </c>
      <c r="F13" s="19">
        <v>0.28100000000000003</v>
      </c>
      <c r="G13" s="19">
        <v>0.28000000000000003</v>
      </c>
      <c r="H13" s="19">
        <v>0.37</v>
      </c>
      <c r="I13" s="19">
        <v>-0.224</v>
      </c>
      <c r="J13" s="19">
        <v>0.35899999999999999</v>
      </c>
      <c r="K13" s="13">
        <v>12</v>
      </c>
      <c r="L13" s="13">
        <v>1</v>
      </c>
      <c r="M13" s="13">
        <v>17</v>
      </c>
      <c r="N13" s="13">
        <v>2</v>
      </c>
      <c r="O13" s="13">
        <v>12</v>
      </c>
    </row>
    <row r="14" spans="1:15" ht="12" customHeight="1" x14ac:dyDescent="0.25">
      <c r="A14" s="12" t="s">
        <v>39</v>
      </c>
      <c r="B14" s="12" t="s">
        <v>5</v>
      </c>
      <c r="C14" s="19">
        <v>8.4000000000000005E-2</v>
      </c>
      <c r="D14" s="19">
        <v>0.11899999999999999</v>
      </c>
      <c r="E14" s="19">
        <v>0.27800000000000002</v>
      </c>
      <c r="F14" s="19">
        <v>0.51800000000000002</v>
      </c>
      <c r="G14" s="19">
        <v>0.86899999999999999</v>
      </c>
      <c r="H14" s="19">
        <v>0.373</v>
      </c>
      <c r="I14" s="19">
        <v>0.78600000000000003</v>
      </c>
      <c r="J14" s="19">
        <v>0.36899999999999999</v>
      </c>
      <c r="K14" s="13">
        <v>11</v>
      </c>
      <c r="L14" s="13">
        <v>3</v>
      </c>
      <c r="M14" s="13">
        <v>16</v>
      </c>
      <c r="N14" s="13">
        <v>4</v>
      </c>
      <c r="O14" s="13">
        <v>12</v>
      </c>
    </row>
    <row r="15" spans="1:15" ht="12" customHeight="1" x14ac:dyDescent="0.25">
      <c r="A15" s="12" t="s">
        <v>39</v>
      </c>
      <c r="B15" s="12" t="s">
        <v>6</v>
      </c>
      <c r="C15" s="19">
        <v>8.3000000000000004E-2</v>
      </c>
      <c r="D15" s="19">
        <v>0.126</v>
      </c>
      <c r="E15" s="19">
        <v>0.128</v>
      </c>
      <c r="F15" s="19">
        <v>9.6000000000000002E-2</v>
      </c>
      <c r="G15" s="19">
        <v>4.3999999999999997E-2</v>
      </c>
      <c r="H15" s="19">
        <v>9.5000000000000001E-2</v>
      </c>
      <c r="I15" s="19">
        <v>-3.9E-2</v>
      </c>
      <c r="J15" s="19">
        <v>0.155</v>
      </c>
      <c r="K15" s="13">
        <v>0</v>
      </c>
      <c r="L15" s="13">
        <v>2</v>
      </c>
      <c r="M15" s="13">
        <v>28</v>
      </c>
      <c r="N15" s="13">
        <v>0</v>
      </c>
      <c r="O15" s="13">
        <v>22</v>
      </c>
    </row>
    <row r="16" spans="1:15" ht="12" customHeight="1" x14ac:dyDescent="0.25">
      <c r="A16" s="12" t="s">
        <v>40</v>
      </c>
      <c r="B16" s="12" t="s">
        <v>9</v>
      </c>
      <c r="C16" s="19">
        <v>0.64900000000000002</v>
      </c>
      <c r="D16" s="19">
        <v>0.61599999999999999</v>
      </c>
      <c r="E16" s="19">
        <v>0.59699999999999998</v>
      </c>
      <c r="F16" s="19">
        <v>0.53400000000000003</v>
      </c>
      <c r="G16" s="19">
        <v>0.53700000000000003</v>
      </c>
      <c r="H16" s="19">
        <v>0.58699999999999997</v>
      </c>
      <c r="I16" s="19">
        <v>-0.112</v>
      </c>
      <c r="J16" s="19">
        <v>0.255</v>
      </c>
      <c r="K16" s="13">
        <v>13</v>
      </c>
      <c r="L16" s="13">
        <v>6</v>
      </c>
      <c r="M16" s="13">
        <v>11</v>
      </c>
      <c r="N16" s="13">
        <v>4</v>
      </c>
      <c r="O16" s="13">
        <v>1</v>
      </c>
    </row>
    <row r="17" spans="1:15" ht="12" customHeight="1" x14ac:dyDescent="0.25">
      <c r="A17" s="12" t="s">
        <v>40</v>
      </c>
      <c r="B17" s="12" t="s">
        <v>2</v>
      </c>
      <c r="C17" s="19">
        <v>0.57499999999999996</v>
      </c>
      <c r="D17" s="19">
        <v>0.56999999999999995</v>
      </c>
      <c r="E17" s="19">
        <v>0.54500000000000004</v>
      </c>
      <c r="F17" s="19">
        <v>0.55400000000000005</v>
      </c>
      <c r="G17" s="19">
        <v>0.42099999999999999</v>
      </c>
      <c r="H17" s="19">
        <v>0.53300000000000003</v>
      </c>
      <c r="I17" s="19">
        <v>-0.154</v>
      </c>
      <c r="J17" s="19">
        <v>0.41599999999999998</v>
      </c>
      <c r="K17" s="13">
        <v>17</v>
      </c>
      <c r="L17" s="13">
        <v>2</v>
      </c>
      <c r="M17" s="13">
        <v>11</v>
      </c>
      <c r="N17" s="13">
        <v>9</v>
      </c>
      <c r="O17" s="13">
        <v>10</v>
      </c>
    </row>
    <row r="18" spans="1:15" ht="12" customHeight="1" x14ac:dyDescent="0.25">
      <c r="A18" s="12" t="s">
        <v>40</v>
      </c>
      <c r="B18" s="12" t="s">
        <v>3</v>
      </c>
      <c r="C18" s="19">
        <v>0.51700000000000002</v>
      </c>
      <c r="D18" s="19">
        <v>0.46300000000000002</v>
      </c>
      <c r="E18" s="19">
        <v>0.39200000000000002</v>
      </c>
      <c r="F18" s="19">
        <v>0.36</v>
      </c>
      <c r="G18" s="19">
        <v>0.34799999999999998</v>
      </c>
      <c r="H18" s="19">
        <v>0.41599999999999998</v>
      </c>
      <c r="I18" s="19">
        <v>-0.16900000000000001</v>
      </c>
      <c r="J18" s="19">
        <v>0.36699999999999999</v>
      </c>
      <c r="K18" s="13">
        <v>10</v>
      </c>
      <c r="L18" s="13">
        <v>7</v>
      </c>
      <c r="M18" s="13">
        <v>13</v>
      </c>
      <c r="N18" s="13">
        <v>6</v>
      </c>
      <c r="O18" s="13">
        <v>11</v>
      </c>
    </row>
    <row r="19" spans="1:15" ht="12" customHeight="1" x14ac:dyDescent="0.25">
      <c r="A19" s="12" t="s">
        <v>40</v>
      </c>
      <c r="B19" s="12" t="s">
        <v>7</v>
      </c>
      <c r="C19" s="19">
        <v>0.90800000000000003</v>
      </c>
      <c r="D19" s="19">
        <v>0.8</v>
      </c>
      <c r="E19" s="19">
        <v>0.66</v>
      </c>
      <c r="F19" s="19">
        <v>0.60699999999999998</v>
      </c>
      <c r="G19" s="19">
        <v>0.58599999999999997</v>
      </c>
      <c r="H19" s="19">
        <v>0.71199999999999997</v>
      </c>
      <c r="I19" s="19">
        <v>-0.32200000000000001</v>
      </c>
      <c r="J19" s="19">
        <v>0.28799999999999998</v>
      </c>
      <c r="K19" s="13">
        <v>22</v>
      </c>
      <c r="L19" s="13">
        <v>3</v>
      </c>
      <c r="M19" s="13">
        <v>5</v>
      </c>
      <c r="N19" s="13">
        <v>12</v>
      </c>
      <c r="O19" s="13">
        <v>1</v>
      </c>
    </row>
    <row r="20" spans="1:15" ht="12" customHeight="1" x14ac:dyDescent="0.25">
      <c r="A20" s="12" t="s">
        <v>40</v>
      </c>
      <c r="B20" s="12" t="s">
        <v>8</v>
      </c>
      <c r="C20" s="19">
        <v>0.3</v>
      </c>
      <c r="D20" s="19">
        <v>0.217</v>
      </c>
      <c r="E20" s="19">
        <v>0.17299999999999999</v>
      </c>
      <c r="F20" s="19">
        <v>0.123</v>
      </c>
      <c r="G20" s="19">
        <v>9.5000000000000001E-2</v>
      </c>
      <c r="H20" s="19">
        <v>0.182</v>
      </c>
      <c r="I20" s="19">
        <v>-0.20499999999999999</v>
      </c>
      <c r="J20" s="19">
        <v>0.14899999999999999</v>
      </c>
      <c r="K20" s="13">
        <v>2</v>
      </c>
      <c r="L20" s="13">
        <v>0</v>
      </c>
      <c r="M20" s="13">
        <v>28</v>
      </c>
      <c r="N20" s="13">
        <v>0</v>
      </c>
      <c r="O20" s="13">
        <v>9</v>
      </c>
    </row>
    <row r="21" spans="1:15" ht="12" customHeight="1" x14ac:dyDescent="0.25">
      <c r="A21" s="12" t="s">
        <v>40</v>
      </c>
      <c r="B21" s="12" t="s">
        <v>5</v>
      </c>
      <c r="C21" s="19">
        <v>6.7000000000000004E-2</v>
      </c>
      <c r="D21" s="19">
        <v>0.22</v>
      </c>
      <c r="E21" s="19">
        <v>0.45100000000000001</v>
      </c>
      <c r="F21" s="19">
        <v>0.63</v>
      </c>
      <c r="G21" s="19">
        <v>0.90300000000000002</v>
      </c>
      <c r="H21" s="19">
        <v>0.45400000000000001</v>
      </c>
      <c r="I21" s="19">
        <v>0.83599999999999997</v>
      </c>
      <c r="J21" s="19">
        <v>0.39900000000000002</v>
      </c>
      <c r="K21" s="13">
        <v>13</v>
      </c>
      <c r="L21" s="13">
        <v>1</v>
      </c>
      <c r="M21" s="13">
        <v>16</v>
      </c>
      <c r="N21" s="13">
        <v>6</v>
      </c>
      <c r="O21" s="13">
        <v>11</v>
      </c>
    </row>
    <row r="22" spans="1:15" ht="12" customHeight="1" x14ac:dyDescent="0.25">
      <c r="A22" s="12" t="s">
        <v>40</v>
      </c>
      <c r="B22" s="12" t="s">
        <v>6</v>
      </c>
      <c r="C22" s="19">
        <v>0.48399999999999999</v>
      </c>
      <c r="D22" s="19">
        <v>0.61299999999999999</v>
      </c>
      <c r="E22" s="19">
        <v>0.68300000000000005</v>
      </c>
      <c r="F22" s="19">
        <v>0.69199999999999995</v>
      </c>
      <c r="G22" s="19">
        <v>0.61</v>
      </c>
      <c r="H22" s="19">
        <v>0.61599999999999999</v>
      </c>
      <c r="I22" s="19">
        <v>0.126</v>
      </c>
      <c r="J22" s="19">
        <v>0.31900000000000001</v>
      </c>
      <c r="K22" s="13">
        <v>16</v>
      </c>
      <c r="L22" s="13">
        <v>5</v>
      </c>
      <c r="M22" s="13">
        <v>9</v>
      </c>
      <c r="N22" s="13">
        <v>8</v>
      </c>
      <c r="O22" s="13">
        <v>2</v>
      </c>
    </row>
    <row r="23" spans="1:15" ht="12" customHeight="1" x14ac:dyDescent="0.25">
      <c r="A23" s="12" t="s">
        <v>41</v>
      </c>
      <c r="B23" s="12" t="s">
        <v>9</v>
      </c>
      <c r="C23" s="19">
        <v>0.86</v>
      </c>
      <c r="D23" s="19">
        <v>0.83199999999999996</v>
      </c>
      <c r="E23" s="19">
        <v>0.78100000000000003</v>
      </c>
      <c r="F23" s="19">
        <v>0.71499999999999997</v>
      </c>
      <c r="G23" s="19">
        <v>0.66900000000000004</v>
      </c>
      <c r="H23" s="19">
        <v>0.77100000000000002</v>
      </c>
      <c r="I23" s="19">
        <v>-0.191</v>
      </c>
      <c r="J23" s="19">
        <v>0.32400000000000001</v>
      </c>
      <c r="K23" s="13">
        <v>23</v>
      </c>
      <c r="L23" s="13">
        <v>0</v>
      </c>
      <c r="M23" s="13">
        <v>7</v>
      </c>
      <c r="N23" s="13">
        <v>18</v>
      </c>
      <c r="O23" s="13">
        <v>1</v>
      </c>
    </row>
    <row r="24" spans="1:15" ht="12" customHeight="1" x14ac:dyDescent="0.25">
      <c r="A24" s="12" t="s">
        <v>41</v>
      </c>
      <c r="B24" s="12" t="s">
        <v>2</v>
      </c>
      <c r="C24" s="19">
        <v>0.66700000000000004</v>
      </c>
      <c r="D24" s="19">
        <v>0.60399999999999998</v>
      </c>
      <c r="E24" s="19">
        <v>0.57599999999999996</v>
      </c>
      <c r="F24" s="19">
        <v>0.55800000000000005</v>
      </c>
      <c r="G24" s="19">
        <v>0.52100000000000002</v>
      </c>
      <c r="H24" s="19">
        <v>0.58499999999999996</v>
      </c>
      <c r="I24" s="19">
        <v>-0.14499999999999999</v>
      </c>
      <c r="J24" s="19">
        <v>0.45500000000000002</v>
      </c>
      <c r="K24" s="13">
        <v>17</v>
      </c>
      <c r="L24" s="13">
        <v>0</v>
      </c>
      <c r="M24" s="13">
        <v>13</v>
      </c>
      <c r="N24" s="13">
        <v>15</v>
      </c>
      <c r="O24" s="13">
        <v>10</v>
      </c>
    </row>
    <row r="25" spans="1:15" ht="12" customHeight="1" x14ac:dyDescent="0.25">
      <c r="A25" s="12" t="s">
        <v>41</v>
      </c>
      <c r="B25" s="12" t="s">
        <v>3</v>
      </c>
      <c r="C25" s="19">
        <v>0.5</v>
      </c>
      <c r="D25" s="19">
        <v>0.495</v>
      </c>
      <c r="E25" s="19">
        <v>0.42099999999999999</v>
      </c>
      <c r="F25" s="19">
        <v>0.35599999999999998</v>
      </c>
      <c r="G25" s="19">
        <v>0.33300000000000002</v>
      </c>
      <c r="H25" s="19">
        <v>0.42099999999999999</v>
      </c>
      <c r="I25" s="19">
        <v>-0.16700000000000001</v>
      </c>
      <c r="J25" s="19">
        <v>0.47499999999999998</v>
      </c>
      <c r="K25" s="13">
        <v>12</v>
      </c>
      <c r="L25" s="13">
        <v>1</v>
      </c>
      <c r="M25" s="13">
        <v>17</v>
      </c>
      <c r="N25" s="13">
        <v>12</v>
      </c>
      <c r="O25" s="13">
        <v>16</v>
      </c>
    </row>
    <row r="26" spans="1:15" ht="12" customHeight="1" x14ac:dyDescent="0.25">
      <c r="A26" s="12" t="s">
        <v>41</v>
      </c>
      <c r="B26" s="12" t="s">
        <v>7</v>
      </c>
      <c r="C26" s="19">
        <v>0.96599999999999997</v>
      </c>
      <c r="D26" s="19">
        <v>0.96099999999999997</v>
      </c>
      <c r="E26" s="19">
        <v>0.95299999999999996</v>
      </c>
      <c r="F26" s="19">
        <v>0.95899999999999996</v>
      </c>
      <c r="G26" s="19">
        <v>0.85599999999999998</v>
      </c>
      <c r="H26" s="19">
        <v>0.93899999999999995</v>
      </c>
      <c r="I26" s="19">
        <v>-0.11</v>
      </c>
      <c r="J26" s="19">
        <v>0.13600000000000001</v>
      </c>
      <c r="K26" s="13">
        <v>29</v>
      </c>
      <c r="L26" s="13">
        <v>0</v>
      </c>
      <c r="M26" s="13">
        <v>1</v>
      </c>
      <c r="N26" s="13">
        <v>24</v>
      </c>
      <c r="O26" s="13">
        <v>0</v>
      </c>
    </row>
    <row r="27" spans="1:15" ht="12" customHeight="1" x14ac:dyDescent="0.25">
      <c r="A27" s="12" t="s">
        <v>41</v>
      </c>
      <c r="B27" s="12" t="s">
        <v>8</v>
      </c>
      <c r="C27" s="19">
        <v>7.0999999999999994E-2</v>
      </c>
      <c r="D27" s="19">
        <v>3.7999999999999999E-2</v>
      </c>
      <c r="E27" s="19">
        <v>1.0999999999999999E-2</v>
      </c>
      <c r="F27" s="19">
        <v>3.0000000000000001E-3</v>
      </c>
      <c r="G27" s="19">
        <v>1E-3</v>
      </c>
      <c r="H27" s="19">
        <v>2.5000000000000001E-2</v>
      </c>
      <c r="I27" s="19">
        <v>-7.0000000000000007E-2</v>
      </c>
      <c r="J27" s="19">
        <v>5.1999999999999998E-2</v>
      </c>
      <c r="K27" s="13">
        <v>0</v>
      </c>
      <c r="L27" s="13">
        <v>0</v>
      </c>
      <c r="M27" s="13">
        <v>30</v>
      </c>
      <c r="N27" s="13">
        <v>0</v>
      </c>
      <c r="O27" s="13">
        <v>26</v>
      </c>
    </row>
    <row r="28" spans="1:15" ht="12" customHeight="1" x14ac:dyDescent="0.25">
      <c r="A28" s="12" t="s">
        <v>41</v>
      </c>
      <c r="B28" s="12" t="s">
        <v>5</v>
      </c>
      <c r="C28" s="19">
        <v>0.13500000000000001</v>
      </c>
      <c r="D28" s="19">
        <v>0.16700000000000001</v>
      </c>
      <c r="E28" s="19">
        <v>0.28699999999999998</v>
      </c>
      <c r="F28" s="19">
        <v>0.42799999999999999</v>
      </c>
      <c r="G28" s="19">
        <v>0.73199999999999998</v>
      </c>
      <c r="H28" s="19">
        <v>0.35</v>
      </c>
      <c r="I28" s="19">
        <v>0.59599999999999997</v>
      </c>
      <c r="J28" s="19">
        <v>0.40200000000000002</v>
      </c>
      <c r="K28" s="13">
        <v>11</v>
      </c>
      <c r="L28" s="13">
        <v>1</v>
      </c>
      <c r="M28" s="13">
        <v>18</v>
      </c>
      <c r="N28" s="13">
        <v>5</v>
      </c>
      <c r="O28" s="13">
        <v>15</v>
      </c>
    </row>
    <row r="29" spans="1:15" ht="12" customHeight="1" x14ac:dyDescent="0.25">
      <c r="A29" s="12" t="s">
        <v>41</v>
      </c>
      <c r="B29" s="12" t="s">
        <v>6</v>
      </c>
      <c r="C29" s="19">
        <v>0.30199999999999999</v>
      </c>
      <c r="D29" s="19">
        <v>0.40300000000000002</v>
      </c>
      <c r="E29" s="19">
        <v>0.47099999999999997</v>
      </c>
      <c r="F29" s="19">
        <v>0.48</v>
      </c>
      <c r="G29" s="19">
        <v>0.38900000000000001</v>
      </c>
      <c r="H29" s="19">
        <v>0.40899999999999997</v>
      </c>
      <c r="I29" s="19">
        <v>8.6999999999999994E-2</v>
      </c>
      <c r="J29" s="19">
        <v>0.39500000000000002</v>
      </c>
      <c r="K29" s="13">
        <v>12</v>
      </c>
      <c r="L29" s="13">
        <v>0</v>
      </c>
      <c r="M29" s="13">
        <v>18</v>
      </c>
      <c r="N29" s="13">
        <v>6</v>
      </c>
      <c r="O29" s="13">
        <v>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85"/>
  <sheetViews>
    <sheetView workbookViewId="0"/>
  </sheetViews>
  <sheetFormatPr defaultRowHeight="13.2" x14ac:dyDescent="0.25"/>
  <cols>
    <col min="1" max="1" width="26.44140625" customWidth="1"/>
    <col min="2" max="2" width="23.5546875" customWidth="1"/>
    <col min="3" max="7" width="11.88671875" customWidth="1"/>
    <col min="8" max="8" width="12.44140625" customWidth="1"/>
    <col min="9" max="9" width="15.33203125" customWidth="1"/>
    <col min="10" max="10" width="16.109375" customWidth="1"/>
  </cols>
  <sheetData>
    <row r="1" spans="1:10" ht="12" customHeight="1" x14ac:dyDescent="0.25">
      <c r="A1" s="15" t="s">
        <v>92</v>
      </c>
      <c r="B1" s="15" t="s">
        <v>107</v>
      </c>
      <c r="C1" s="15" t="s">
        <v>108</v>
      </c>
      <c r="D1" s="15" t="s">
        <v>109</v>
      </c>
      <c r="E1" s="15" t="s">
        <v>110</v>
      </c>
      <c r="F1" s="15" t="s">
        <v>111</v>
      </c>
      <c r="G1" s="15" t="s">
        <v>112</v>
      </c>
      <c r="H1" s="15" t="s">
        <v>113</v>
      </c>
      <c r="I1" s="15" t="s">
        <v>114</v>
      </c>
      <c r="J1" s="10" t="s">
        <v>115</v>
      </c>
    </row>
    <row r="2" spans="1:10" ht="12" customHeight="1" x14ac:dyDescent="0.25">
      <c r="A2" s="12" t="s">
        <v>38</v>
      </c>
      <c r="B2" s="12" t="s">
        <v>116</v>
      </c>
      <c r="C2" s="19">
        <v>0.34399999999999997</v>
      </c>
      <c r="D2" s="19">
        <v>0.41599999999999998</v>
      </c>
      <c r="E2" s="19">
        <v>0.44</v>
      </c>
      <c r="F2" s="19">
        <v>0.441</v>
      </c>
      <c r="G2" s="19">
        <v>0.438</v>
      </c>
      <c r="H2" s="19">
        <v>9.8000000000000004E-2</v>
      </c>
      <c r="I2" s="19">
        <v>9.4E-2</v>
      </c>
      <c r="J2" s="9" t="s">
        <v>22</v>
      </c>
    </row>
    <row r="3" spans="1:10" ht="12" customHeight="1" x14ac:dyDescent="0.25">
      <c r="A3" s="12" t="s">
        <v>38</v>
      </c>
      <c r="B3" s="12" t="s">
        <v>117</v>
      </c>
      <c r="C3" s="19">
        <v>0.189</v>
      </c>
      <c r="D3" s="19">
        <v>0.19600000000000001</v>
      </c>
      <c r="E3" s="19">
        <v>0.25900000000000001</v>
      </c>
      <c r="F3" s="19">
        <v>0.218</v>
      </c>
      <c r="G3" s="19">
        <v>0.20399999999999999</v>
      </c>
      <c r="H3" s="19">
        <v>7.0000000000000007E-2</v>
      </c>
      <c r="I3" s="19">
        <v>1.4999999999999999E-2</v>
      </c>
      <c r="J3" s="9" t="s">
        <v>22</v>
      </c>
    </row>
    <row r="4" spans="1:10" ht="12" customHeight="1" x14ac:dyDescent="0.25">
      <c r="A4" s="12" t="s">
        <v>38</v>
      </c>
      <c r="B4" s="12" t="s">
        <v>118</v>
      </c>
      <c r="C4" s="19">
        <v>0.188</v>
      </c>
      <c r="D4" s="19">
        <v>0.19600000000000001</v>
      </c>
      <c r="E4" s="19">
        <v>0.26200000000000001</v>
      </c>
      <c r="F4" s="19">
        <v>0.22</v>
      </c>
      <c r="G4" s="19">
        <v>0.20399999999999999</v>
      </c>
      <c r="H4" s="19">
        <v>7.3999999999999996E-2</v>
      </c>
      <c r="I4" s="19">
        <v>1.7000000000000001E-2</v>
      </c>
      <c r="J4" s="9" t="s">
        <v>22</v>
      </c>
    </row>
    <row r="5" spans="1:10" ht="12" customHeight="1" x14ac:dyDescent="0.25">
      <c r="A5" s="12" t="s">
        <v>38</v>
      </c>
      <c r="B5" s="12" t="s">
        <v>119</v>
      </c>
      <c r="C5" s="19">
        <v>0.81</v>
      </c>
      <c r="D5" s="19">
        <v>0.83099999999999996</v>
      </c>
      <c r="E5" s="19">
        <v>0.83499999999999996</v>
      </c>
      <c r="F5" s="19">
        <v>0.90700000000000003</v>
      </c>
      <c r="G5" s="19">
        <v>0.93700000000000006</v>
      </c>
      <c r="H5" s="19">
        <v>0.127</v>
      </c>
      <c r="I5" s="19">
        <v>0.127</v>
      </c>
      <c r="J5" s="9" t="s">
        <v>22</v>
      </c>
    </row>
    <row r="6" spans="1:10" ht="12" customHeight="1" x14ac:dyDescent="0.25">
      <c r="A6" s="12" t="s">
        <v>38</v>
      </c>
      <c r="B6" s="12" t="s">
        <v>76</v>
      </c>
      <c r="C6" s="19">
        <v>0.189</v>
      </c>
      <c r="D6" s="19">
        <v>0.11600000000000001</v>
      </c>
      <c r="E6" s="19">
        <v>4.7E-2</v>
      </c>
      <c r="F6" s="19">
        <v>2E-3</v>
      </c>
      <c r="G6" s="19">
        <v>0</v>
      </c>
      <c r="H6" s="19">
        <v>0.189</v>
      </c>
      <c r="I6" s="19">
        <v>-0.189</v>
      </c>
      <c r="J6" s="9" t="s">
        <v>22</v>
      </c>
    </row>
    <row r="7" spans="1:10" ht="12" customHeight="1" x14ac:dyDescent="0.25">
      <c r="A7" s="12" t="s">
        <v>38</v>
      </c>
      <c r="B7" s="12" t="s">
        <v>120</v>
      </c>
      <c r="C7" s="19">
        <v>0.19</v>
      </c>
      <c r="D7" s="19">
        <v>0.106</v>
      </c>
      <c r="E7" s="19">
        <v>4.7E-2</v>
      </c>
      <c r="F7" s="19">
        <v>1.7000000000000001E-2</v>
      </c>
      <c r="G7" s="19">
        <v>4.0000000000000001E-3</v>
      </c>
      <c r="H7" s="19">
        <v>0.186</v>
      </c>
      <c r="I7" s="19">
        <v>-0.186</v>
      </c>
      <c r="J7" s="9" t="s">
        <v>22</v>
      </c>
    </row>
    <row r="8" spans="1:10" ht="12" customHeight="1" x14ac:dyDescent="0.25">
      <c r="A8" s="12" t="s">
        <v>38</v>
      </c>
      <c r="B8" s="12" t="s">
        <v>121</v>
      </c>
      <c r="C8" s="19">
        <v>0</v>
      </c>
      <c r="D8" s="19">
        <v>0.12</v>
      </c>
      <c r="E8" s="19">
        <v>0.122</v>
      </c>
      <c r="F8" s="19">
        <v>0.09</v>
      </c>
      <c r="G8" s="19">
        <v>5.1999999999999998E-2</v>
      </c>
      <c r="H8" s="19">
        <v>0.122</v>
      </c>
      <c r="I8" s="19">
        <v>5.1999999999999998E-2</v>
      </c>
      <c r="J8" s="9" t="s">
        <v>22</v>
      </c>
    </row>
    <row r="9" spans="1:10" ht="12" customHeight="1" x14ac:dyDescent="0.25">
      <c r="A9" s="12" t="s">
        <v>38</v>
      </c>
      <c r="B9" s="12" t="s">
        <v>122</v>
      </c>
      <c r="C9" s="19">
        <v>0</v>
      </c>
      <c r="D9" s="19">
        <v>0.12</v>
      </c>
      <c r="E9" s="19">
        <v>0.121</v>
      </c>
      <c r="F9" s="19">
        <v>8.8999999999999996E-2</v>
      </c>
      <c r="G9" s="19">
        <v>5.5E-2</v>
      </c>
      <c r="H9" s="19">
        <v>0.121</v>
      </c>
      <c r="I9" s="19">
        <v>5.5E-2</v>
      </c>
      <c r="J9" s="9" t="s">
        <v>22</v>
      </c>
    </row>
    <row r="10" spans="1:10" ht="12" customHeight="1" x14ac:dyDescent="0.25">
      <c r="A10" s="12" t="s">
        <v>38</v>
      </c>
      <c r="B10" s="12" t="s">
        <v>123</v>
      </c>
      <c r="C10" s="19">
        <v>0.65700000000000003</v>
      </c>
      <c r="D10" s="19">
        <v>0.57999999999999996</v>
      </c>
      <c r="E10" s="19">
        <v>0.55800000000000005</v>
      </c>
      <c r="F10" s="19">
        <v>0.56000000000000005</v>
      </c>
      <c r="G10" s="19">
        <v>0.56100000000000005</v>
      </c>
      <c r="H10" s="19">
        <v>9.9000000000000005E-2</v>
      </c>
      <c r="I10" s="19">
        <v>-9.6000000000000002E-2</v>
      </c>
      <c r="J10" s="9" t="s">
        <v>22</v>
      </c>
    </row>
    <row r="11" spans="1:10" ht="12" customHeight="1" x14ac:dyDescent="0.25">
      <c r="A11" s="12" t="s">
        <v>38</v>
      </c>
      <c r="B11" s="12" t="s">
        <v>124</v>
      </c>
      <c r="C11" s="19">
        <v>0</v>
      </c>
      <c r="D11" s="19">
        <v>0</v>
      </c>
      <c r="E11" s="19">
        <v>1E-3</v>
      </c>
      <c r="F11" s="19">
        <v>0</v>
      </c>
      <c r="G11" s="19">
        <v>0</v>
      </c>
      <c r="H11" s="19">
        <v>1E-3</v>
      </c>
      <c r="I11" s="19">
        <v>0</v>
      </c>
      <c r="J11" s="9" t="s">
        <v>22</v>
      </c>
    </row>
    <row r="12" spans="1:10" ht="12" customHeight="1" x14ac:dyDescent="0.25">
      <c r="A12" s="12" t="s">
        <v>38</v>
      </c>
      <c r="B12" s="12" t="s">
        <v>125</v>
      </c>
      <c r="C12" s="19">
        <v>0</v>
      </c>
      <c r="D12" s="19">
        <v>5.8999999999999997E-2</v>
      </c>
      <c r="E12" s="19">
        <v>1.7000000000000001E-2</v>
      </c>
      <c r="F12" s="19">
        <v>5.0000000000000001E-3</v>
      </c>
      <c r="G12" s="19">
        <v>0</v>
      </c>
      <c r="H12" s="19">
        <v>5.8999999999999997E-2</v>
      </c>
      <c r="I12" s="19">
        <v>0</v>
      </c>
      <c r="J12" s="9" t="s">
        <v>22</v>
      </c>
    </row>
    <row r="13" spans="1:10" ht="12" customHeight="1" x14ac:dyDescent="0.25">
      <c r="A13" s="12" t="s">
        <v>38</v>
      </c>
      <c r="B13" s="12" t="s">
        <v>126</v>
      </c>
      <c r="C13" s="19">
        <v>0.5</v>
      </c>
      <c r="D13" s="19">
        <v>0.499</v>
      </c>
      <c r="E13" s="19">
        <v>0.502</v>
      </c>
      <c r="F13" s="19">
        <v>0.5</v>
      </c>
      <c r="G13" s="19">
        <v>0.5</v>
      </c>
      <c r="H13" s="19">
        <v>2E-3</v>
      </c>
      <c r="I13" s="19">
        <v>-1E-3</v>
      </c>
      <c r="J13" s="9" t="s">
        <v>27</v>
      </c>
    </row>
    <row r="14" spans="1:10" ht="12" customHeight="1" x14ac:dyDescent="0.25">
      <c r="A14" s="12" t="s">
        <v>38</v>
      </c>
      <c r="B14" s="12" t="s">
        <v>127</v>
      </c>
      <c r="C14" s="19">
        <v>0.98299999999999998</v>
      </c>
      <c r="D14" s="19">
        <v>0.998</v>
      </c>
      <c r="E14" s="19">
        <v>1</v>
      </c>
      <c r="F14" s="19">
        <v>1</v>
      </c>
      <c r="G14" s="19">
        <v>1</v>
      </c>
      <c r="H14" s="19">
        <v>1.7000000000000001E-2</v>
      </c>
      <c r="I14" s="19">
        <v>1.7000000000000001E-2</v>
      </c>
      <c r="J14" s="9" t="s">
        <v>22</v>
      </c>
    </row>
    <row r="15" spans="1:10" ht="12" customHeight="1" x14ac:dyDescent="0.25">
      <c r="A15" s="12" t="s">
        <v>38</v>
      </c>
      <c r="B15" s="12" t="s">
        <v>72</v>
      </c>
      <c r="C15" s="19">
        <v>0.501</v>
      </c>
      <c r="D15" s="19">
        <v>0.13100000000000001</v>
      </c>
      <c r="E15" s="19">
        <v>3.3000000000000002E-2</v>
      </c>
      <c r="F15" s="19">
        <v>3.0000000000000001E-3</v>
      </c>
      <c r="G15" s="19">
        <v>0</v>
      </c>
      <c r="H15" s="19">
        <v>0.501</v>
      </c>
      <c r="I15" s="19">
        <v>-0.501</v>
      </c>
      <c r="J15" s="9" t="s">
        <v>27</v>
      </c>
    </row>
    <row r="16" spans="1:10" ht="12" customHeight="1" x14ac:dyDescent="0.25">
      <c r="A16" s="12" t="s">
        <v>38</v>
      </c>
      <c r="B16" s="12" t="s">
        <v>128</v>
      </c>
      <c r="C16" s="19">
        <v>0.5</v>
      </c>
      <c r="D16" s="19">
        <v>0.501</v>
      </c>
      <c r="E16" s="19">
        <v>0.497</v>
      </c>
      <c r="F16" s="19">
        <v>0.503</v>
      </c>
      <c r="G16" s="19">
        <v>0.499</v>
      </c>
      <c r="H16" s="19">
        <v>5.0000000000000001E-3</v>
      </c>
      <c r="I16" s="19">
        <v>-1E-3</v>
      </c>
      <c r="J16" s="9" t="s">
        <v>27</v>
      </c>
    </row>
    <row r="17" spans="1:10" ht="12" customHeight="1" x14ac:dyDescent="0.25">
      <c r="A17" s="12" t="s">
        <v>38</v>
      </c>
      <c r="B17" s="12" t="s">
        <v>129</v>
      </c>
      <c r="C17" s="19">
        <v>0.89300000000000002</v>
      </c>
      <c r="D17" s="19">
        <v>0.93100000000000005</v>
      </c>
      <c r="E17" s="19">
        <v>0.95599999999999996</v>
      </c>
      <c r="F17" s="19">
        <v>0.97299999999999998</v>
      </c>
      <c r="G17" s="19">
        <v>0.99</v>
      </c>
      <c r="H17" s="19">
        <v>9.6000000000000002E-2</v>
      </c>
      <c r="I17" s="19">
        <v>9.6000000000000002E-2</v>
      </c>
      <c r="J17" s="9" t="s">
        <v>22</v>
      </c>
    </row>
    <row r="18" spans="1:10" ht="12" customHeight="1" x14ac:dyDescent="0.25">
      <c r="A18" s="12" t="s">
        <v>38</v>
      </c>
      <c r="B18" s="12" t="s">
        <v>130</v>
      </c>
      <c r="C18" s="19">
        <v>0.501</v>
      </c>
      <c r="D18" s="19">
        <v>0.13</v>
      </c>
      <c r="E18" s="19">
        <v>3.4000000000000002E-2</v>
      </c>
      <c r="F18" s="19">
        <v>3.0000000000000001E-3</v>
      </c>
      <c r="G18" s="19">
        <v>0</v>
      </c>
      <c r="H18" s="19">
        <v>0.501</v>
      </c>
      <c r="I18" s="19">
        <v>-0.501</v>
      </c>
      <c r="J18" s="9" t="s">
        <v>27</v>
      </c>
    </row>
    <row r="19" spans="1:10" ht="12" customHeight="1" x14ac:dyDescent="0.25">
      <c r="A19" s="12" t="s">
        <v>38</v>
      </c>
      <c r="B19" s="12" t="s">
        <v>131</v>
      </c>
      <c r="C19" s="19">
        <v>0.5</v>
      </c>
      <c r="D19" s="19">
        <v>0.222</v>
      </c>
      <c r="E19" s="19">
        <v>0.105</v>
      </c>
      <c r="F19" s="19">
        <v>5.8000000000000003E-2</v>
      </c>
      <c r="G19" s="19">
        <v>2.1000000000000001E-2</v>
      </c>
      <c r="H19" s="19">
        <v>0.47899999999999998</v>
      </c>
      <c r="I19" s="19">
        <v>-0.47899999999999998</v>
      </c>
      <c r="J19" s="9" t="s">
        <v>27</v>
      </c>
    </row>
    <row r="20" spans="1:10" ht="12" customHeight="1" x14ac:dyDescent="0.25">
      <c r="A20" s="12" t="s">
        <v>38</v>
      </c>
      <c r="B20" s="12" t="s">
        <v>132</v>
      </c>
      <c r="C20" s="19">
        <v>0.109</v>
      </c>
      <c r="D20" s="19">
        <v>3.5999999999999997E-2</v>
      </c>
      <c r="E20" s="19">
        <v>8.0000000000000002E-3</v>
      </c>
      <c r="F20" s="19">
        <v>1E-3</v>
      </c>
      <c r="G20" s="19">
        <v>0</v>
      </c>
      <c r="H20" s="19">
        <v>0.109</v>
      </c>
      <c r="I20" s="19">
        <v>-0.109</v>
      </c>
      <c r="J20" s="9" t="s">
        <v>22</v>
      </c>
    </row>
    <row r="21" spans="1:10" ht="12" customHeight="1" x14ac:dyDescent="0.25">
      <c r="A21" s="12" t="s">
        <v>38</v>
      </c>
      <c r="B21" s="12" t="s">
        <v>133</v>
      </c>
      <c r="C21" s="19">
        <v>0.108</v>
      </c>
      <c r="D21" s="19">
        <v>2.8000000000000001E-2</v>
      </c>
      <c r="E21" s="19">
        <v>6.0000000000000001E-3</v>
      </c>
      <c r="F21" s="19">
        <v>1E-3</v>
      </c>
      <c r="G21" s="19">
        <v>0</v>
      </c>
      <c r="H21" s="19">
        <v>0.108</v>
      </c>
      <c r="I21" s="19">
        <v>-0.108</v>
      </c>
      <c r="J21" s="9" t="s">
        <v>22</v>
      </c>
    </row>
    <row r="22" spans="1:10" ht="12" customHeight="1" x14ac:dyDescent="0.25">
      <c r="A22" s="12" t="s">
        <v>38</v>
      </c>
      <c r="B22" s="12" t="s">
        <v>134</v>
      </c>
      <c r="C22" s="19">
        <v>0.501</v>
      </c>
      <c r="D22" s="19">
        <v>0.39100000000000001</v>
      </c>
      <c r="E22" s="19">
        <v>0.67500000000000004</v>
      </c>
      <c r="F22" s="19">
        <v>0.879</v>
      </c>
      <c r="G22" s="19">
        <v>0.997</v>
      </c>
      <c r="H22" s="19">
        <v>0.60699999999999998</v>
      </c>
      <c r="I22" s="19">
        <v>0.496</v>
      </c>
      <c r="J22" s="9" t="s">
        <v>27</v>
      </c>
    </row>
    <row r="23" spans="1:10" ht="12" customHeight="1" x14ac:dyDescent="0.25">
      <c r="A23" s="12" t="s">
        <v>39</v>
      </c>
      <c r="B23" s="12" t="s">
        <v>116</v>
      </c>
      <c r="C23" s="19">
        <v>1</v>
      </c>
      <c r="D23" s="19">
        <v>1</v>
      </c>
      <c r="E23" s="19">
        <v>1</v>
      </c>
      <c r="F23" s="19">
        <v>1</v>
      </c>
      <c r="G23" s="19">
        <v>1</v>
      </c>
      <c r="H23" s="19">
        <v>0</v>
      </c>
      <c r="I23" s="19">
        <v>0</v>
      </c>
      <c r="J23" s="9" t="s">
        <v>22</v>
      </c>
    </row>
    <row r="24" spans="1:10" ht="12" customHeight="1" x14ac:dyDescent="0.25">
      <c r="A24" s="12" t="s">
        <v>39</v>
      </c>
      <c r="B24" s="12" t="s">
        <v>117</v>
      </c>
      <c r="C24" s="19">
        <v>1</v>
      </c>
      <c r="D24" s="19">
        <v>1</v>
      </c>
      <c r="E24" s="19">
        <v>1</v>
      </c>
      <c r="F24" s="19">
        <v>1</v>
      </c>
      <c r="G24" s="19">
        <v>1</v>
      </c>
      <c r="H24" s="19">
        <v>0</v>
      </c>
      <c r="I24" s="19">
        <v>0</v>
      </c>
      <c r="J24" s="9" t="s">
        <v>22</v>
      </c>
    </row>
    <row r="25" spans="1:10" ht="12" customHeight="1" x14ac:dyDescent="0.25">
      <c r="A25" s="12" t="s">
        <v>39</v>
      </c>
      <c r="B25" s="12" t="s">
        <v>118</v>
      </c>
      <c r="C25" s="19">
        <v>0.191</v>
      </c>
      <c r="D25" s="19">
        <v>0.19800000000000001</v>
      </c>
      <c r="E25" s="19">
        <v>0.25800000000000001</v>
      </c>
      <c r="F25" s="19">
        <v>0.219</v>
      </c>
      <c r="G25" s="19">
        <v>0.20499999999999999</v>
      </c>
      <c r="H25" s="19">
        <v>6.7000000000000004E-2</v>
      </c>
      <c r="I25" s="19">
        <v>1.4E-2</v>
      </c>
      <c r="J25" s="9" t="s">
        <v>22</v>
      </c>
    </row>
    <row r="26" spans="1:10" ht="12" customHeight="1" x14ac:dyDescent="0.25">
      <c r="A26" s="12" t="s">
        <v>39</v>
      </c>
      <c r="B26" s="12" t="s">
        <v>119</v>
      </c>
      <c r="C26" s="19">
        <v>0.81</v>
      </c>
      <c r="D26" s="19">
        <v>0.83099999999999996</v>
      </c>
      <c r="E26" s="19">
        <v>0.83599999999999997</v>
      </c>
      <c r="F26" s="19">
        <v>0.90900000000000003</v>
      </c>
      <c r="G26" s="19">
        <v>0.93600000000000005</v>
      </c>
      <c r="H26" s="19">
        <v>0.127</v>
      </c>
      <c r="I26" s="19">
        <v>0.127</v>
      </c>
      <c r="J26" s="9" t="s">
        <v>22</v>
      </c>
    </row>
    <row r="27" spans="1:10" ht="12" customHeight="1" x14ac:dyDescent="0.25">
      <c r="A27" s="12" t="s">
        <v>39</v>
      </c>
      <c r="B27" s="12" t="s">
        <v>76</v>
      </c>
      <c r="C27" s="19">
        <v>1</v>
      </c>
      <c r="D27" s="19">
        <v>1</v>
      </c>
      <c r="E27" s="19">
        <v>0.79700000000000004</v>
      </c>
      <c r="F27" s="19">
        <v>0.434</v>
      </c>
      <c r="G27" s="19">
        <v>2.5999999999999999E-2</v>
      </c>
      <c r="H27" s="19">
        <v>0.97399999999999998</v>
      </c>
      <c r="I27" s="19">
        <v>-0.97399999999999998</v>
      </c>
      <c r="J27" s="9" t="s">
        <v>27</v>
      </c>
    </row>
    <row r="28" spans="1:10" ht="12" customHeight="1" x14ac:dyDescent="0.25">
      <c r="A28" s="12" t="s">
        <v>39</v>
      </c>
      <c r="B28" s="12" t="s">
        <v>120</v>
      </c>
      <c r="C28" s="19">
        <v>1</v>
      </c>
      <c r="D28" s="19">
        <v>1</v>
      </c>
      <c r="E28" s="19">
        <v>0.996</v>
      </c>
      <c r="F28" s="19">
        <v>0.998</v>
      </c>
      <c r="G28" s="19">
        <v>1</v>
      </c>
      <c r="H28" s="19">
        <v>4.0000000000000001E-3</v>
      </c>
      <c r="I28" s="19">
        <v>0</v>
      </c>
      <c r="J28" s="9" t="s">
        <v>22</v>
      </c>
    </row>
    <row r="29" spans="1:10" ht="12" customHeight="1" x14ac:dyDescent="0.25">
      <c r="A29" s="12" t="s">
        <v>39</v>
      </c>
      <c r="B29" s="12" t="s">
        <v>121</v>
      </c>
      <c r="C29" s="19">
        <v>0</v>
      </c>
      <c r="D29" s="19">
        <v>2.9000000000000001E-2</v>
      </c>
      <c r="E29" s="19">
        <v>1.7000000000000001E-2</v>
      </c>
      <c r="F29" s="19">
        <v>8.9999999999999993E-3</v>
      </c>
      <c r="G29" s="19">
        <v>2E-3</v>
      </c>
      <c r="H29" s="19">
        <v>2.9000000000000001E-2</v>
      </c>
      <c r="I29" s="19">
        <v>2E-3</v>
      </c>
      <c r="J29" s="9" t="s">
        <v>22</v>
      </c>
    </row>
    <row r="30" spans="1:10" ht="12" customHeight="1" x14ac:dyDescent="0.25">
      <c r="A30" s="12" t="s">
        <v>39</v>
      </c>
      <c r="B30" s="12" t="s">
        <v>122</v>
      </c>
      <c r="C30" s="19">
        <v>0</v>
      </c>
      <c r="D30" s="19">
        <v>0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9" t="s">
        <v>22</v>
      </c>
    </row>
    <row r="31" spans="1:10" ht="12" customHeight="1" x14ac:dyDescent="0.25">
      <c r="A31" s="12" t="s">
        <v>39</v>
      </c>
      <c r="B31" s="12" t="s">
        <v>123</v>
      </c>
      <c r="C31" s="19">
        <v>0.32800000000000001</v>
      </c>
      <c r="D31" s="19">
        <v>0.29399999999999998</v>
      </c>
      <c r="E31" s="19">
        <v>0.26</v>
      </c>
      <c r="F31" s="19">
        <v>0.23100000000000001</v>
      </c>
      <c r="G31" s="19">
        <v>0.188</v>
      </c>
      <c r="H31" s="19">
        <v>0.14000000000000001</v>
      </c>
      <c r="I31" s="19">
        <v>-0.14000000000000001</v>
      </c>
      <c r="J31" s="9" t="s">
        <v>22</v>
      </c>
    </row>
    <row r="32" spans="1:10" ht="12" customHeight="1" x14ac:dyDescent="0.25">
      <c r="A32" s="12" t="s">
        <v>39</v>
      </c>
      <c r="B32" s="12" t="s">
        <v>124</v>
      </c>
      <c r="C32" s="19">
        <v>1</v>
      </c>
      <c r="D32" s="19">
        <v>0.98299999999999998</v>
      </c>
      <c r="E32" s="19">
        <v>0.96199999999999997</v>
      </c>
      <c r="F32" s="19">
        <v>0.88600000000000001</v>
      </c>
      <c r="G32" s="19">
        <v>0.39700000000000002</v>
      </c>
      <c r="H32" s="19">
        <v>0.60299999999999998</v>
      </c>
      <c r="I32" s="19">
        <v>-0.60299999999999998</v>
      </c>
      <c r="J32" s="9" t="s">
        <v>27</v>
      </c>
    </row>
    <row r="33" spans="1:10" ht="12" customHeight="1" x14ac:dyDescent="0.25">
      <c r="A33" s="12" t="s">
        <v>39</v>
      </c>
      <c r="B33" s="12" t="s">
        <v>125</v>
      </c>
      <c r="C33" s="19">
        <v>1</v>
      </c>
      <c r="D33" s="19">
        <v>0.95399999999999996</v>
      </c>
      <c r="E33" s="19">
        <v>0.93799999999999994</v>
      </c>
      <c r="F33" s="19">
        <v>0.94299999999999995</v>
      </c>
      <c r="G33" s="19">
        <v>0.95499999999999996</v>
      </c>
      <c r="H33" s="19">
        <v>6.2E-2</v>
      </c>
      <c r="I33" s="19">
        <v>-4.4999999999999998E-2</v>
      </c>
      <c r="J33" s="9" t="s">
        <v>22</v>
      </c>
    </row>
    <row r="34" spans="1:10" ht="12" customHeight="1" x14ac:dyDescent="0.25">
      <c r="A34" s="12" t="s">
        <v>39</v>
      </c>
      <c r="B34" s="12" t="s">
        <v>126</v>
      </c>
      <c r="C34" s="19">
        <v>0</v>
      </c>
      <c r="D34" s="19">
        <v>0</v>
      </c>
      <c r="E34" s="19">
        <v>3.0000000000000001E-3</v>
      </c>
      <c r="F34" s="19">
        <v>1E-3</v>
      </c>
      <c r="G34" s="19">
        <v>0</v>
      </c>
      <c r="H34" s="19">
        <v>3.0000000000000001E-3</v>
      </c>
      <c r="I34" s="19">
        <v>0</v>
      </c>
      <c r="J34" s="9" t="s">
        <v>22</v>
      </c>
    </row>
    <row r="35" spans="1:10" ht="12" customHeight="1" x14ac:dyDescent="0.25">
      <c r="A35" s="12" t="s">
        <v>39</v>
      </c>
      <c r="B35" s="12" t="s">
        <v>127</v>
      </c>
      <c r="C35" s="19">
        <v>0.95099999999999996</v>
      </c>
      <c r="D35" s="19">
        <v>0.98899999999999999</v>
      </c>
      <c r="E35" s="19">
        <v>0.999</v>
      </c>
      <c r="F35" s="19">
        <v>0.999</v>
      </c>
      <c r="G35" s="19">
        <v>1</v>
      </c>
      <c r="H35" s="19">
        <v>4.9000000000000002E-2</v>
      </c>
      <c r="I35" s="19">
        <v>4.9000000000000002E-2</v>
      </c>
      <c r="J35" s="9" t="s">
        <v>22</v>
      </c>
    </row>
    <row r="36" spans="1:10" ht="12" customHeight="1" x14ac:dyDescent="0.25">
      <c r="A36" s="12" t="s">
        <v>39</v>
      </c>
      <c r="B36" s="12" t="s">
        <v>72</v>
      </c>
      <c r="C36" s="19">
        <v>1</v>
      </c>
      <c r="D36" s="19">
        <v>1</v>
      </c>
      <c r="E36" s="19">
        <v>0.66500000000000004</v>
      </c>
      <c r="F36" s="19">
        <v>0.27800000000000002</v>
      </c>
      <c r="G36" s="19">
        <v>1.0999999999999999E-2</v>
      </c>
      <c r="H36" s="19">
        <v>0.98899999999999999</v>
      </c>
      <c r="I36" s="19">
        <v>-0.98899999999999999</v>
      </c>
      <c r="J36" s="9" t="s">
        <v>27</v>
      </c>
    </row>
    <row r="37" spans="1:10" ht="12" customHeight="1" x14ac:dyDescent="0.25">
      <c r="A37" s="12" t="s">
        <v>39</v>
      </c>
      <c r="B37" s="12" t="s">
        <v>128</v>
      </c>
      <c r="C37" s="19">
        <v>1</v>
      </c>
      <c r="D37" s="19">
        <v>1</v>
      </c>
      <c r="E37" s="19">
        <v>1</v>
      </c>
      <c r="F37" s="19">
        <v>1</v>
      </c>
      <c r="G37" s="19">
        <v>1</v>
      </c>
      <c r="H37" s="19">
        <v>0</v>
      </c>
      <c r="I37" s="19">
        <v>0</v>
      </c>
      <c r="J37" s="9" t="s">
        <v>22</v>
      </c>
    </row>
    <row r="38" spans="1:10" ht="12" customHeight="1" x14ac:dyDescent="0.25">
      <c r="A38" s="12" t="s">
        <v>39</v>
      </c>
      <c r="B38" s="12" t="s">
        <v>129</v>
      </c>
      <c r="C38" s="19">
        <v>0.89100000000000001</v>
      </c>
      <c r="D38" s="19">
        <v>0.93100000000000005</v>
      </c>
      <c r="E38" s="19">
        <v>0.95699999999999996</v>
      </c>
      <c r="F38" s="19">
        <v>0.97299999999999998</v>
      </c>
      <c r="G38" s="19">
        <v>0.99</v>
      </c>
      <c r="H38" s="19">
        <v>9.9000000000000005E-2</v>
      </c>
      <c r="I38" s="19">
        <v>9.9000000000000005E-2</v>
      </c>
      <c r="J38" s="9" t="s">
        <v>22</v>
      </c>
    </row>
    <row r="39" spans="1:10" ht="12" customHeight="1" x14ac:dyDescent="0.25">
      <c r="A39" s="12" t="s">
        <v>39</v>
      </c>
      <c r="B39" s="12" t="s">
        <v>130</v>
      </c>
      <c r="C39" s="19">
        <v>1</v>
      </c>
      <c r="D39" s="19">
        <v>1</v>
      </c>
      <c r="E39" s="19">
        <v>1</v>
      </c>
      <c r="F39" s="19">
        <v>0.98199999999999998</v>
      </c>
      <c r="G39" s="19">
        <v>0.34</v>
      </c>
      <c r="H39" s="19">
        <v>0.66</v>
      </c>
      <c r="I39" s="19">
        <v>-0.66</v>
      </c>
      <c r="J39" s="9" t="s">
        <v>27</v>
      </c>
    </row>
    <row r="40" spans="1:10" ht="12" customHeight="1" x14ac:dyDescent="0.25">
      <c r="A40" s="12" t="s">
        <v>39</v>
      </c>
      <c r="B40" s="12" t="s">
        <v>131</v>
      </c>
      <c r="C40" s="19">
        <v>1</v>
      </c>
      <c r="D40" s="19">
        <v>1</v>
      </c>
      <c r="E40" s="19">
        <v>1</v>
      </c>
      <c r="F40" s="19">
        <v>1</v>
      </c>
      <c r="G40" s="19">
        <v>1</v>
      </c>
      <c r="H40" s="19">
        <v>0</v>
      </c>
      <c r="I40" s="19">
        <v>0</v>
      </c>
      <c r="J40" s="9" t="s">
        <v>22</v>
      </c>
    </row>
    <row r="41" spans="1:10" ht="12" customHeight="1" x14ac:dyDescent="0.25">
      <c r="A41" s="12" t="s">
        <v>39</v>
      </c>
      <c r="B41" s="12" t="s">
        <v>132</v>
      </c>
      <c r="C41" s="19">
        <v>1</v>
      </c>
      <c r="D41" s="19">
        <v>0.79600000000000004</v>
      </c>
      <c r="E41" s="19">
        <v>0.52900000000000003</v>
      </c>
      <c r="F41" s="19">
        <v>0.13900000000000001</v>
      </c>
      <c r="G41" s="19">
        <v>4.0000000000000001E-3</v>
      </c>
      <c r="H41" s="19">
        <v>0.996</v>
      </c>
      <c r="I41" s="19">
        <v>-0.996</v>
      </c>
      <c r="J41" s="9" t="s">
        <v>27</v>
      </c>
    </row>
    <row r="42" spans="1:10" ht="12" customHeight="1" x14ac:dyDescent="0.25">
      <c r="A42" s="12" t="s">
        <v>39</v>
      </c>
      <c r="B42" s="12" t="s">
        <v>133</v>
      </c>
      <c r="C42" s="19">
        <v>1</v>
      </c>
      <c r="D42" s="19">
        <v>0.79900000000000004</v>
      </c>
      <c r="E42" s="19">
        <v>0.67800000000000005</v>
      </c>
      <c r="F42" s="19">
        <v>0.65900000000000003</v>
      </c>
      <c r="G42" s="19">
        <v>0.78700000000000003</v>
      </c>
      <c r="H42" s="19">
        <v>0.34100000000000003</v>
      </c>
      <c r="I42" s="19">
        <v>-0.21299999999999999</v>
      </c>
      <c r="J42" s="9" t="s">
        <v>22</v>
      </c>
    </row>
    <row r="43" spans="1:10" ht="12" customHeight="1" x14ac:dyDescent="0.25">
      <c r="A43" s="12" t="s">
        <v>39</v>
      </c>
      <c r="B43" s="12" t="s">
        <v>134</v>
      </c>
      <c r="C43" s="19">
        <v>0.501</v>
      </c>
      <c r="D43" s="19">
        <v>0.49299999999999999</v>
      </c>
      <c r="E43" s="19">
        <v>0.62</v>
      </c>
      <c r="F43" s="19">
        <v>0.82399999999999995</v>
      </c>
      <c r="G43" s="19">
        <v>0.995</v>
      </c>
      <c r="H43" s="19">
        <v>0.501</v>
      </c>
      <c r="I43" s="19">
        <v>0.49299999999999999</v>
      </c>
      <c r="J43" s="9" t="s">
        <v>27</v>
      </c>
    </row>
    <row r="44" spans="1:10" ht="12" customHeight="1" x14ac:dyDescent="0.25">
      <c r="A44" s="12" t="s">
        <v>40</v>
      </c>
      <c r="B44" s="12" t="s">
        <v>116</v>
      </c>
      <c r="C44" s="19">
        <v>0.36199999999999999</v>
      </c>
      <c r="D44" s="19">
        <v>0.39300000000000002</v>
      </c>
      <c r="E44" s="19">
        <v>0.46100000000000002</v>
      </c>
      <c r="F44" s="19">
        <v>0.442</v>
      </c>
      <c r="G44" s="19">
        <v>0.46600000000000003</v>
      </c>
      <c r="H44" s="19">
        <v>0.104</v>
      </c>
      <c r="I44" s="19">
        <v>0.104</v>
      </c>
      <c r="J44" s="9" t="s">
        <v>22</v>
      </c>
    </row>
    <row r="45" spans="1:10" ht="12" customHeight="1" x14ac:dyDescent="0.25">
      <c r="A45" s="12" t="s">
        <v>40</v>
      </c>
      <c r="B45" s="12" t="s">
        <v>117</v>
      </c>
      <c r="C45" s="19">
        <v>0.36099999999999999</v>
      </c>
      <c r="D45" s="19">
        <v>0.39700000000000002</v>
      </c>
      <c r="E45" s="19">
        <v>0.45500000000000002</v>
      </c>
      <c r="F45" s="19">
        <v>0.443</v>
      </c>
      <c r="G45" s="19">
        <v>0.46400000000000002</v>
      </c>
      <c r="H45" s="19">
        <v>0.10199999999999999</v>
      </c>
      <c r="I45" s="19">
        <v>0.10199999999999999</v>
      </c>
      <c r="J45" s="9" t="s">
        <v>22</v>
      </c>
    </row>
    <row r="46" spans="1:10" ht="12" customHeight="1" x14ac:dyDescent="0.25">
      <c r="A46" s="9" t="s">
        <v>40</v>
      </c>
      <c r="B46" s="9" t="s">
        <v>118</v>
      </c>
      <c r="C46" s="11">
        <v>0.36099999999999999</v>
      </c>
      <c r="D46" s="11">
        <v>0.39500000000000002</v>
      </c>
      <c r="E46" s="11">
        <v>0.45700000000000002</v>
      </c>
      <c r="F46" s="11">
        <v>0.441</v>
      </c>
      <c r="G46" s="11">
        <v>0.46400000000000002</v>
      </c>
      <c r="H46" s="11">
        <v>0.104</v>
      </c>
      <c r="I46" s="11">
        <v>0.104</v>
      </c>
      <c r="J46" s="9" t="s">
        <v>22</v>
      </c>
    </row>
    <row r="47" spans="1:10" ht="12" customHeight="1" x14ac:dyDescent="0.25">
      <c r="A47" s="9" t="s">
        <v>40</v>
      </c>
      <c r="B47" s="9" t="s">
        <v>119</v>
      </c>
      <c r="C47" s="11">
        <v>0.80900000000000005</v>
      </c>
      <c r="D47" s="11">
        <v>0.83099999999999996</v>
      </c>
      <c r="E47" s="11">
        <v>0.83599999999999997</v>
      </c>
      <c r="F47" s="11">
        <v>0.90700000000000003</v>
      </c>
      <c r="G47" s="11">
        <v>0.93799999999999994</v>
      </c>
      <c r="H47" s="11">
        <v>0.129</v>
      </c>
      <c r="I47" s="11">
        <v>0.129</v>
      </c>
      <c r="J47" s="9" t="s">
        <v>22</v>
      </c>
    </row>
    <row r="48" spans="1:10" ht="12" customHeight="1" x14ac:dyDescent="0.25">
      <c r="A48" s="9" t="s">
        <v>40</v>
      </c>
      <c r="B48" s="9" t="s">
        <v>76</v>
      </c>
      <c r="C48" s="11">
        <v>1</v>
      </c>
      <c r="D48" s="11">
        <v>0.84099999999999997</v>
      </c>
      <c r="E48" s="11">
        <v>0.60099999999999998</v>
      </c>
      <c r="F48" s="11">
        <v>0.189</v>
      </c>
      <c r="G48" s="11">
        <v>7.0000000000000001E-3</v>
      </c>
      <c r="H48" s="11">
        <v>0.99299999999999999</v>
      </c>
      <c r="I48" s="11">
        <v>-0.99299999999999999</v>
      </c>
      <c r="J48" s="9" t="s">
        <v>27</v>
      </c>
    </row>
    <row r="49" spans="1:10" ht="12" customHeight="1" x14ac:dyDescent="0.25">
      <c r="A49" s="9" t="s">
        <v>40</v>
      </c>
      <c r="B49" s="9" t="s">
        <v>120</v>
      </c>
      <c r="C49" s="11">
        <v>1</v>
      </c>
      <c r="D49" s="11">
        <v>0.84099999999999997</v>
      </c>
      <c r="E49" s="11">
        <v>0.77300000000000002</v>
      </c>
      <c r="F49" s="11">
        <v>0.78</v>
      </c>
      <c r="G49" s="11">
        <v>0.88300000000000001</v>
      </c>
      <c r="H49" s="11">
        <v>0.22700000000000001</v>
      </c>
      <c r="I49" s="11">
        <v>-0.11700000000000001</v>
      </c>
      <c r="J49" s="9" t="s">
        <v>22</v>
      </c>
    </row>
    <row r="50" spans="1:10" ht="12" customHeight="1" x14ac:dyDescent="0.25">
      <c r="A50" s="9" t="s">
        <v>40</v>
      </c>
      <c r="B50" s="9" t="s">
        <v>121</v>
      </c>
      <c r="C50" s="11">
        <v>1</v>
      </c>
      <c r="D50" s="11">
        <v>1</v>
      </c>
      <c r="E50" s="11">
        <v>0.999</v>
      </c>
      <c r="F50" s="11">
        <v>1</v>
      </c>
      <c r="G50" s="11">
        <v>1</v>
      </c>
      <c r="H50" s="11">
        <v>1E-3</v>
      </c>
      <c r="I50" s="11">
        <v>0</v>
      </c>
      <c r="J50" s="9" t="s">
        <v>22</v>
      </c>
    </row>
    <row r="51" spans="1:10" ht="12" customHeight="1" x14ac:dyDescent="0.25">
      <c r="A51" s="9" t="s">
        <v>40</v>
      </c>
      <c r="B51" s="9" t="s">
        <v>122</v>
      </c>
      <c r="C51" s="11">
        <v>0</v>
      </c>
      <c r="D51" s="11">
        <v>1.4999999999999999E-2</v>
      </c>
      <c r="E51" s="11">
        <v>8.0000000000000002E-3</v>
      </c>
      <c r="F51" s="11">
        <v>3.0000000000000001E-3</v>
      </c>
      <c r="G51" s="11">
        <v>1E-3</v>
      </c>
      <c r="H51" s="11">
        <v>1.4999999999999999E-2</v>
      </c>
      <c r="I51" s="11">
        <v>1E-3</v>
      </c>
      <c r="J51" s="9" t="s">
        <v>22</v>
      </c>
    </row>
    <row r="52" spans="1:10" ht="12" customHeight="1" x14ac:dyDescent="0.25">
      <c r="A52" s="9" t="s">
        <v>40</v>
      </c>
      <c r="B52" s="9" t="s">
        <v>123</v>
      </c>
      <c r="C52" s="11">
        <v>0.80900000000000005</v>
      </c>
      <c r="D52" s="11">
        <v>0.80300000000000005</v>
      </c>
      <c r="E52" s="11">
        <v>0.74</v>
      </c>
      <c r="F52" s="11">
        <v>0.78400000000000003</v>
      </c>
      <c r="G52" s="11">
        <v>0.79700000000000004</v>
      </c>
      <c r="H52" s="11">
        <v>7.0000000000000007E-2</v>
      </c>
      <c r="I52" s="11">
        <v>-1.2E-2</v>
      </c>
      <c r="J52" s="9" t="s">
        <v>22</v>
      </c>
    </row>
    <row r="53" spans="1:10" ht="12" customHeight="1" x14ac:dyDescent="0.25">
      <c r="A53" s="9" t="s">
        <v>40</v>
      </c>
      <c r="B53" s="9" t="s">
        <v>124</v>
      </c>
      <c r="C53" s="11">
        <v>1</v>
      </c>
      <c r="D53" s="11">
        <v>0.99399999999999999</v>
      </c>
      <c r="E53" s="11">
        <v>0.98</v>
      </c>
      <c r="F53" s="11">
        <v>0.98099999999999998</v>
      </c>
      <c r="G53" s="11">
        <v>0.192</v>
      </c>
      <c r="H53" s="11">
        <v>0.80800000000000005</v>
      </c>
      <c r="I53" s="11">
        <v>-0.80800000000000005</v>
      </c>
      <c r="J53" s="9" t="s">
        <v>27</v>
      </c>
    </row>
    <row r="54" spans="1:10" ht="12" customHeight="1" x14ac:dyDescent="0.25">
      <c r="A54" s="9" t="s">
        <v>40</v>
      </c>
      <c r="B54" s="9" t="s">
        <v>125</v>
      </c>
      <c r="C54" s="11">
        <v>0</v>
      </c>
      <c r="D54" s="11">
        <v>0</v>
      </c>
      <c r="E54" s="11">
        <v>3.0000000000000001E-3</v>
      </c>
      <c r="F54" s="11">
        <v>0</v>
      </c>
      <c r="G54" s="11">
        <v>0</v>
      </c>
      <c r="H54" s="11">
        <v>3.0000000000000001E-3</v>
      </c>
      <c r="I54" s="11">
        <v>0</v>
      </c>
      <c r="J54" s="9" t="s">
        <v>22</v>
      </c>
    </row>
    <row r="55" spans="1:10" ht="12" customHeight="1" x14ac:dyDescent="0.25">
      <c r="A55" s="9" t="s">
        <v>40</v>
      </c>
      <c r="B55" s="9" t="s">
        <v>126</v>
      </c>
      <c r="C55" s="11">
        <v>0</v>
      </c>
      <c r="D55" s="11">
        <v>9.2999999999999999E-2</v>
      </c>
      <c r="E55" s="11">
        <v>0.121</v>
      </c>
      <c r="F55" s="11">
        <v>8.5000000000000006E-2</v>
      </c>
      <c r="G55" s="11">
        <v>5.8000000000000003E-2</v>
      </c>
      <c r="H55" s="11">
        <v>0.121</v>
      </c>
      <c r="I55" s="11">
        <v>5.8000000000000003E-2</v>
      </c>
      <c r="J55" s="9" t="s">
        <v>22</v>
      </c>
    </row>
    <row r="56" spans="1:10" ht="12" customHeight="1" x14ac:dyDescent="0.25">
      <c r="A56" s="9" t="s">
        <v>40</v>
      </c>
      <c r="B56" s="9" t="s">
        <v>127</v>
      </c>
      <c r="C56" s="11">
        <v>0.96499999999999997</v>
      </c>
      <c r="D56" s="11">
        <v>0.99</v>
      </c>
      <c r="E56" s="11">
        <v>0.997</v>
      </c>
      <c r="F56" s="11">
        <v>0.999</v>
      </c>
      <c r="G56" s="11">
        <v>1</v>
      </c>
      <c r="H56" s="11">
        <v>3.5000000000000003E-2</v>
      </c>
      <c r="I56" s="11">
        <v>3.5000000000000003E-2</v>
      </c>
      <c r="J56" s="9" t="s">
        <v>22</v>
      </c>
    </row>
    <row r="57" spans="1:10" ht="12" customHeight="1" x14ac:dyDescent="0.25">
      <c r="A57" s="9" t="s">
        <v>40</v>
      </c>
      <c r="B57" s="9" t="s">
        <v>72</v>
      </c>
      <c r="C57" s="11">
        <v>1</v>
      </c>
      <c r="D57" s="11">
        <v>0.59199999999999997</v>
      </c>
      <c r="E57" s="11">
        <v>0.188</v>
      </c>
      <c r="F57" s="11">
        <v>2.1999999999999999E-2</v>
      </c>
      <c r="G57" s="11">
        <v>0</v>
      </c>
      <c r="H57" s="11">
        <v>1</v>
      </c>
      <c r="I57" s="11">
        <v>-1</v>
      </c>
      <c r="J57" s="9" t="s">
        <v>27</v>
      </c>
    </row>
    <row r="58" spans="1:10" ht="12" customHeight="1" x14ac:dyDescent="0.25">
      <c r="A58" s="9" t="s">
        <v>40</v>
      </c>
      <c r="B58" s="9" t="s">
        <v>128</v>
      </c>
      <c r="C58" s="11">
        <v>0.499</v>
      </c>
      <c r="D58" s="11">
        <v>0.5</v>
      </c>
      <c r="E58" s="11">
        <v>0.498</v>
      </c>
      <c r="F58" s="11">
        <v>0.499</v>
      </c>
      <c r="G58" s="11">
        <v>0.497</v>
      </c>
      <c r="H58" s="11">
        <v>3.0000000000000001E-3</v>
      </c>
      <c r="I58" s="11">
        <v>-3.0000000000000001E-3</v>
      </c>
      <c r="J58" s="9" t="s">
        <v>27</v>
      </c>
    </row>
    <row r="59" spans="1:10" ht="12" customHeight="1" x14ac:dyDescent="0.25">
      <c r="A59" s="9" t="s">
        <v>40</v>
      </c>
      <c r="B59" s="9" t="s">
        <v>129</v>
      </c>
      <c r="C59" s="11">
        <v>0.80900000000000005</v>
      </c>
      <c r="D59" s="11">
        <v>0.80500000000000005</v>
      </c>
      <c r="E59" s="11">
        <v>0.74</v>
      </c>
      <c r="F59" s="11">
        <v>0.78300000000000003</v>
      </c>
      <c r="G59" s="11">
        <v>0.79700000000000004</v>
      </c>
      <c r="H59" s="11">
        <v>7.0000000000000007E-2</v>
      </c>
      <c r="I59" s="11">
        <v>-1.2E-2</v>
      </c>
      <c r="J59" s="9" t="s">
        <v>22</v>
      </c>
    </row>
    <row r="60" spans="1:10" ht="12" customHeight="1" x14ac:dyDescent="0.25">
      <c r="A60" s="9" t="s">
        <v>40</v>
      </c>
      <c r="B60" s="9" t="s">
        <v>130</v>
      </c>
      <c r="C60" s="11">
        <v>1</v>
      </c>
      <c r="D60" s="11">
        <v>0.93799999999999994</v>
      </c>
      <c r="E60" s="11">
        <v>0.49</v>
      </c>
      <c r="F60" s="11">
        <v>0.129</v>
      </c>
      <c r="G60" s="11">
        <v>3.0000000000000001E-3</v>
      </c>
      <c r="H60" s="11">
        <v>0.997</v>
      </c>
      <c r="I60" s="11">
        <v>-0.997</v>
      </c>
      <c r="J60" s="9" t="s">
        <v>27</v>
      </c>
    </row>
    <row r="61" spans="1:10" ht="12" customHeight="1" x14ac:dyDescent="0.25">
      <c r="A61" s="9" t="s">
        <v>40</v>
      </c>
      <c r="B61" s="9" t="s">
        <v>131</v>
      </c>
      <c r="C61" s="11">
        <v>1</v>
      </c>
      <c r="D61" s="11">
        <v>0.56200000000000006</v>
      </c>
      <c r="E61" s="11">
        <v>0.316</v>
      </c>
      <c r="F61" s="11">
        <v>0.25700000000000001</v>
      </c>
      <c r="G61" s="11">
        <v>0.23799999999999999</v>
      </c>
      <c r="H61" s="11">
        <v>0.76200000000000001</v>
      </c>
      <c r="I61" s="11">
        <v>-0.76200000000000001</v>
      </c>
      <c r="J61" s="9" t="s">
        <v>27</v>
      </c>
    </row>
    <row r="62" spans="1:10" ht="12" customHeight="1" x14ac:dyDescent="0.25">
      <c r="A62" s="9" t="s">
        <v>40</v>
      </c>
      <c r="B62" s="9" t="s">
        <v>132</v>
      </c>
      <c r="C62" s="11">
        <v>0.59599999999999997</v>
      </c>
      <c r="D62" s="11">
        <v>0.38300000000000001</v>
      </c>
      <c r="E62" s="11">
        <v>0.11600000000000001</v>
      </c>
      <c r="F62" s="11">
        <v>2.7E-2</v>
      </c>
      <c r="G62" s="11">
        <v>0</v>
      </c>
      <c r="H62" s="11">
        <v>0.59599999999999997</v>
      </c>
      <c r="I62" s="11">
        <v>-0.59599999999999997</v>
      </c>
      <c r="J62" s="9" t="s">
        <v>27</v>
      </c>
    </row>
    <row r="63" spans="1:10" ht="12" customHeight="1" x14ac:dyDescent="0.25">
      <c r="A63" s="9" t="s">
        <v>40</v>
      </c>
      <c r="B63" s="9" t="s">
        <v>133</v>
      </c>
      <c r="C63" s="11">
        <v>0.59599999999999997</v>
      </c>
      <c r="D63" s="11">
        <v>0.35099999999999998</v>
      </c>
      <c r="E63" s="11">
        <v>0.23100000000000001</v>
      </c>
      <c r="F63" s="11">
        <v>0.18099999999999999</v>
      </c>
      <c r="G63" s="11">
        <v>0.104</v>
      </c>
      <c r="H63" s="11">
        <v>0.49199999999999999</v>
      </c>
      <c r="I63" s="11">
        <v>-0.49199999999999999</v>
      </c>
      <c r="J63" s="9" t="s">
        <v>27</v>
      </c>
    </row>
    <row r="64" spans="1:10" ht="12" customHeight="1" x14ac:dyDescent="0.25">
      <c r="A64" s="9" t="s">
        <v>40</v>
      </c>
      <c r="B64" s="9" t="s">
        <v>134</v>
      </c>
      <c r="C64" s="11">
        <v>0</v>
      </c>
      <c r="D64" s="11">
        <v>6.8000000000000005E-2</v>
      </c>
      <c r="E64" s="11">
        <v>0.08</v>
      </c>
      <c r="F64" s="11">
        <v>0.13</v>
      </c>
      <c r="G64" s="11">
        <v>0.62</v>
      </c>
      <c r="H64" s="11">
        <v>0.62</v>
      </c>
      <c r="I64" s="11">
        <v>0.62</v>
      </c>
      <c r="J64" s="9" t="s">
        <v>27</v>
      </c>
    </row>
    <row r="65" spans="1:10" ht="12" customHeight="1" x14ac:dyDescent="0.25">
      <c r="A65" s="9" t="s">
        <v>41</v>
      </c>
      <c r="B65" s="9" t="s">
        <v>116</v>
      </c>
      <c r="C65" s="11">
        <v>1</v>
      </c>
      <c r="D65" s="11">
        <v>1</v>
      </c>
      <c r="E65" s="11">
        <v>0.98</v>
      </c>
      <c r="F65" s="11">
        <v>0.99099999999999999</v>
      </c>
      <c r="G65" s="11">
        <v>0.998</v>
      </c>
      <c r="H65" s="11">
        <v>0.02</v>
      </c>
      <c r="I65" s="11">
        <v>-2E-3</v>
      </c>
      <c r="J65" s="9" t="s">
        <v>22</v>
      </c>
    </row>
    <row r="66" spans="1:10" ht="12" customHeight="1" x14ac:dyDescent="0.25">
      <c r="A66" s="9" t="s">
        <v>41</v>
      </c>
      <c r="B66" s="9" t="s">
        <v>117</v>
      </c>
      <c r="C66" s="11">
        <v>1</v>
      </c>
      <c r="D66" s="11">
        <v>1</v>
      </c>
      <c r="E66" s="11">
        <v>0.98</v>
      </c>
      <c r="F66" s="11">
        <v>0.99099999999999999</v>
      </c>
      <c r="G66" s="11">
        <v>0.998</v>
      </c>
      <c r="H66" s="11">
        <v>0.02</v>
      </c>
      <c r="I66" s="11">
        <v>-2E-3</v>
      </c>
      <c r="J66" s="9" t="s">
        <v>22</v>
      </c>
    </row>
    <row r="67" spans="1:10" ht="12" customHeight="1" x14ac:dyDescent="0.25">
      <c r="A67" s="9" t="s">
        <v>41</v>
      </c>
      <c r="B67" s="9" t="s">
        <v>118</v>
      </c>
      <c r="C67" s="11">
        <v>0.189</v>
      </c>
      <c r="D67" s="11">
        <v>0.19700000000000001</v>
      </c>
      <c r="E67" s="11">
        <v>0.25900000000000001</v>
      </c>
      <c r="F67" s="11">
        <v>0.217</v>
      </c>
      <c r="G67" s="11">
        <v>0.20399999999999999</v>
      </c>
      <c r="H67" s="11">
        <v>6.9000000000000006E-2</v>
      </c>
      <c r="I67" s="11">
        <v>1.4E-2</v>
      </c>
      <c r="J67" s="9" t="s">
        <v>22</v>
      </c>
    </row>
    <row r="68" spans="1:10" ht="12" customHeight="1" x14ac:dyDescent="0.25">
      <c r="A68" s="9" t="s">
        <v>41</v>
      </c>
      <c r="B68" s="9" t="s">
        <v>119</v>
      </c>
      <c r="C68" s="11">
        <v>0.97099999999999997</v>
      </c>
      <c r="D68" s="11">
        <v>0.995</v>
      </c>
      <c r="E68" s="11">
        <v>0.997</v>
      </c>
      <c r="F68" s="11">
        <v>0.999</v>
      </c>
      <c r="G68" s="11">
        <v>1</v>
      </c>
      <c r="H68" s="11">
        <v>2.9000000000000001E-2</v>
      </c>
      <c r="I68" s="11">
        <v>2.9000000000000001E-2</v>
      </c>
      <c r="J68" s="9" t="s">
        <v>22</v>
      </c>
    </row>
    <row r="69" spans="1:10" ht="12" customHeight="1" x14ac:dyDescent="0.25">
      <c r="A69" s="9" t="s">
        <v>41</v>
      </c>
      <c r="B69" s="9" t="s">
        <v>76</v>
      </c>
      <c r="C69" s="11">
        <v>1</v>
      </c>
      <c r="D69" s="11">
        <v>1</v>
      </c>
      <c r="E69" s="11">
        <v>0.79600000000000004</v>
      </c>
      <c r="F69" s="11">
        <v>0.434</v>
      </c>
      <c r="G69" s="11">
        <v>2.5999999999999999E-2</v>
      </c>
      <c r="H69" s="11">
        <v>0.97399999999999998</v>
      </c>
      <c r="I69" s="11">
        <v>-0.97399999999999998</v>
      </c>
      <c r="J69" s="9" t="s">
        <v>27</v>
      </c>
    </row>
    <row r="70" spans="1:10" ht="12" customHeight="1" x14ac:dyDescent="0.25">
      <c r="A70" s="9" t="s">
        <v>41</v>
      </c>
      <c r="B70" s="9" t="s">
        <v>120</v>
      </c>
      <c r="C70" s="11">
        <v>1</v>
      </c>
      <c r="D70" s="11">
        <v>0.8</v>
      </c>
      <c r="E70" s="11">
        <v>0.67600000000000005</v>
      </c>
      <c r="F70" s="11">
        <v>0.65800000000000003</v>
      </c>
      <c r="G70" s="11">
        <v>0.78600000000000003</v>
      </c>
      <c r="H70" s="11">
        <v>0.34200000000000003</v>
      </c>
      <c r="I70" s="11">
        <v>-0.214</v>
      </c>
      <c r="J70" s="9" t="s">
        <v>22</v>
      </c>
    </row>
    <row r="71" spans="1:10" ht="12" customHeight="1" x14ac:dyDescent="0.25">
      <c r="A71" s="9" t="s">
        <v>41</v>
      </c>
      <c r="B71" s="9" t="s">
        <v>121</v>
      </c>
      <c r="C71" s="11">
        <v>1</v>
      </c>
      <c r="D71" s="11">
        <v>1</v>
      </c>
      <c r="E71" s="11">
        <v>1</v>
      </c>
      <c r="F71" s="11">
        <v>1</v>
      </c>
      <c r="G71" s="11">
        <v>1</v>
      </c>
      <c r="H71" s="11">
        <v>0</v>
      </c>
      <c r="I71" s="11">
        <v>0</v>
      </c>
      <c r="J71" s="9" t="s">
        <v>22</v>
      </c>
    </row>
    <row r="72" spans="1:10" ht="12" customHeight="1" x14ac:dyDescent="0.25">
      <c r="A72" s="9" t="s">
        <v>41</v>
      </c>
      <c r="B72" s="9" t="s">
        <v>122</v>
      </c>
      <c r="C72" s="11">
        <v>0</v>
      </c>
      <c r="D72" s="11">
        <v>1.4999999999999999E-2</v>
      </c>
      <c r="E72" s="11">
        <v>7.0000000000000001E-3</v>
      </c>
      <c r="F72" s="11">
        <v>4.0000000000000001E-3</v>
      </c>
      <c r="G72" s="11">
        <v>1E-3</v>
      </c>
      <c r="H72" s="11">
        <v>1.4999999999999999E-2</v>
      </c>
      <c r="I72" s="11">
        <v>1E-3</v>
      </c>
      <c r="J72" s="9" t="s">
        <v>22</v>
      </c>
    </row>
    <row r="73" spans="1:10" ht="12" customHeight="1" x14ac:dyDescent="0.25">
      <c r="A73" s="9" t="s">
        <v>41</v>
      </c>
      <c r="B73" s="9" t="s">
        <v>123</v>
      </c>
      <c r="C73" s="11">
        <v>1</v>
      </c>
      <c r="D73" s="11">
        <v>1</v>
      </c>
      <c r="E73" s="11">
        <v>1</v>
      </c>
      <c r="F73" s="11">
        <v>1</v>
      </c>
      <c r="G73" s="11">
        <v>1</v>
      </c>
      <c r="H73" s="11">
        <v>0</v>
      </c>
      <c r="I73" s="11">
        <v>0</v>
      </c>
      <c r="J73" s="9" t="s">
        <v>22</v>
      </c>
    </row>
    <row r="74" spans="1:10" ht="12" customHeight="1" x14ac:dyDescent="0.25">
      <c r="A74" s="9" t="s">
        <v>41</v>
      </c>
      <c r="B74" s="9" t="s">
        <v>124</v>
      </c>
      <c r="C74" s="11">
        <v>1</v>
      </c>
      <c r="D74" s="11">
        <v>1</v>
      </c>
      <c r="E74" s="11">
        <v>1</v>
      </c>
      <c r="F74" s="11">
        <v>0.998</v>
      </c>
      <c r="G74" s="11">
        <v>0.86099999999999999</v>
      </c>
      <c r="H74" s="11">
        <v>0.13900000000000001</v>
      </c>
      <c r="I74" s="11">
        <v>-0.13900000000000001</v>
      </c>
      <c r="J74" s="9" t="s">
        <v>22</v>
      </c>
    </row>
    <row r="75" spans="1:10" ht="12" customHeight="1" x14ac:dyDescent="0.25">
      <c r="A75" s="9" t="s">
        <v>41</v>
      </c>
      <c r="B75" s="9" t="s">
        <v>125</v>
      </c>
      <c r="C75" s="11">
        <v>1</v>
      </c>
      <c r="D75" s="11">
        <v>0.60899999999999999</v>
      </c>
      <c r="E75" s="11">
        <v>0.43099999999999999</v>
      </c>
      <c r="F75" s="11">
        <v>0.33900000000000002</v>
      </c>
      <c r="G75" s="11">
        <v>0.26500000000000001</v>
      </c>
      <c r="H75" s="11">
        <v>0.73499999999999999</v>
      </c>
      <c r="I75" s="11">
        <v>-0.73499999999999999</v>
      </c>
      <c r="J75" s="9" t="s">
        <v>27</v>
      </c>
    </row>
    <row r="76" spans="1:10" ht="12" customHeight="1" x14ac:dyDescent="0.25">
      <c r="A76" s="9" t="s">
        <v>41</v>
      </c>
      <c r="B76" s="9" t="s">
        <v>126</v>
      </c>
      <c r="C76" s="11">
        <v>0</v>
      </c>
      <c r="D76" s="11">
        <v>1.4999999999999999E-2</v>
      </c>
      <c r="E76" s="11">
        <v>7.0000000000000001E-3</v>
      </c>
      <c r="F76" s="11">
        <v>3.0000000000000001E-3</v>
      </c>
      <c r="G76" s="11">
        <v>1E-3</v>
      </c>
      <c r="H76" s="11">
        <v>1.4999999999999999E-2</v>
      </c>
      <c r="I76" s="11">
        <v>1E-3</v>
      </c>
      <c r="J76" s="9" t="s">
        <v>22</v>
      </c>
    </row>
    <row r="77" spans="1:10" ht="12" customHeight="1" x14ac:dyDescent="0.25">
      <c r="A77" s="9" t="s">
        <v>41</v>
      </c>
      <c r="B77" s="9" t="s">
        <v>127</v>
      </c>
      <c r="C77" s="11">
        <v>0.999</v>
      </c>
      <c r="D77" s="11">
        <v>1</v>
      </c>
      <c r="E77" s="11">
        <v>1</v>
      </c>
      <c r="F77" s="11">
        <v>1</v>
      </c>
      <c r="G77" s="11">
        <v>1</v>
      </c>
      <c r="H77" s="11">
        <v>1E-3</v>
      </c>
      <c r="I77" s="11">
        <v>1E-3</v>
      </c>
      <c r="J77" s="9" t="s">
        <v>22</v>
      </c>
    </row>
    <row r="78" spans="1:10" ht="12" customHeight="1" x14ac:dyDescent="0.25">
      <c r="A78" s="9" t="s">
        <v>41</v>
      </c>
      <c r="B78" s="9" t="s">
        <v>72</v>
      </c>
      <c r="C78" s="11">
        <v>1</v>
      </c>
      <c r="D78" s="11">
        <v>0.95199999999999996</v>
      </c>
      <c r="E78" s="11">
        <v>0.54700000000000004</v>
      </c>
      <c r="F78" s="11">
        <v>0.14799999999999999</v>
      </c>
      <c r="G78" s="11">
        <v>1E-3</v>
      </c>
      <c r="H78" s="11">
        <v>0.999</v>
      </c>
      <c r="I78" s="11">
        <v>-0.999</v>
      </c>
      <c r="J78" s="9" t="s">
        <v>27</v>
      </c>
    </row>
    <row r="79" spans="1:10" ht="12" customHeight="1" x14ac:dyDescent="0.25">
      <c r="A79" s="9" t="s">
        <v>41</v>
      </c>
      <c r="B79" s="9" t="s">
        <v>128</v>
      </c>
      <c r="C79" s="11">
        <v>1</v>
      </c>
      <c r="D79" s="11">
        <v>1</v>
      </c>
      <c r="E79" s="11">
        <v>0.95199999999999996</v>
      </c>
      <c r="F79" s="11">
        <v>0.97799999999999998</v>
      </c>
      <c r="G79" s="11">
        <v>0.99299999999999999</v>
      </c>
      <c r="H79" s="11">
        <v>4.8000000000000001E-2</v>
      </c>
      <c r="I79" s="11">
        <v>-7.0000000000000001E-3</v>
      </c>
      <c r="J79" s="9" t="s">
        <v>22</v>
      </c>
    </row>
    <row r="80" spans="1:10" ht="12" customHeight="1" x14ac:dyDescent="0.25">
      <c r="A80" s="9" t="s">
        <v>41</v>
      </c>
      <c r="B80" s="9" t="s">
        <v>129</v>
      </c>
      <c r="C80" s="11">
        <v>0.98399999999999999</v>
      </c>
      <c r="D80" s="11">
        <v>0.996</v>
      </c>
      <c r="E80" s="11">
        <v>0.999</v>
      </c>
      <c r="F80" s="11">
        <v>1</v>
      </c>
      <c r="G80" s="11">
        <v>1</v>
      </c>
      <c r="H80" s="11">
        <v>1.6E-2</v>
      </c>
      <c r="I80" s="11">
        <v>1.6E-2</v>
      </c>
      <c r="J80" s="9" t="s">
        <v>22</v>
      </c>
    </row>
    <row r="81" spans="1:10" ht="12" customHeight="1" x14ac:dyDescent="0.25">
      <c r="A81" s="9" t="s">
        <v>41</v>
      </c>
      <c r="B81" s="9" t="s">
        <v>130</v>
      </c>
      <c r="C81" s="11">
        <v>1</v>
      </c>
      <c r="D81" s="11">
        <v>1</v>
      </c>
      <c r="E81" s="11">
        <v>1</v>
      </c>
      <c r="F81" s="11">
        <v>0.98199999999999998</v>
      </c>
      <c r="G81" s="11">
        <v>0.34100000000000003</v>
      </c>
      <c r="H81" s="11">
        <v>0.65900000000000003</v>
      </c>
      <c r="I81" s="11">
        <v>-0.65900000000000003</v>
      </c>
      <c r="J81" s="9" t="s">
        <v>27</v>
      </c>
    </row>
    <row r="82" spans="1:10" ht="12" customHeight="1" x14ac:dyDescent="0.25">
      <c r="A82" s="9" t="s">
        <v>41</v>
      </c>
      <c r="B82" s="9" t="s">
        <v>131</v>
      </c>
      <c r="C82" s="11">
        <v>1</v>
      </c>
      <c r="D82" s="11">
        <v>1</v>
      </c>
      <c r="E82" s="11">
        <v>0.99</v>
      </c>
      <c r="F82" s="11">
        <v>0.996</v>
      </c>
      <c r="G82" s="11">
        <v>1</v>
      </c>
      <c r="H82" s="11">
        <v>0.01</v>
      </c>
      <c r="I82" s="11">
        <v>0</v>
      </c>
      <c r="J82" s="9" t="s">
        <v>22</v>
      </c>
    </row>
    <row r="83" spans="1:10" ht="12" customHeight="1" x14ac:dyDescent="0.25">
      <c r="A83" s="9" t="s">
        <v>41</v>
      </c>
      <c r="B83" s="9" t="s">
        <v>132</v>
      </c>
      <c r="C83" s="11">
        <v>0.189</v>
      </c>
      <c r="D83" s="11">
        <v>0.11600000000000001</v>
      </c>
      <c r="E83" s="11">
        <v>1.7000000000000001E-2</v>
      </c>
      <c r="F83" s="11">
        <v>1E-3</v>
      </c>
      <c r="G83" s="11">
        <v>0</v>
      </c>
      <c r="H83" s="11">
        <v>0.189</v>
      </c>
      <c r="I83" s="11">
        <v>-0.189</v>
      </c>
      <c r="J83" s="9" t="s">
        <v>22</v>
      </c>
    </row>
    <row r="84" spans="1:10" ht="12" customHeight="1" x14ac:dyDescent="0.25">
      <c r="A84" s="9" t="s">
        <v>41</v>
      </c>
      <c r="B84" s="9" t="s">
        <v>133</v>
      </c>
      <c r="C84" s="11">
        <v>0.191</v>
      </c>
      <c r="D84" s="11">
        <v>0.105</v>
      </c>
      <c r="E84" s="11">
        <v>4.7E-2</v>
      </c>
      <c r="F84" s="11">
        <v>1.7999999999999999E-2</v>
      </c>
      <c r="G84" s="11">
        <v>4.0000000000000001E-3</v>
      </c>
      <c r="H84" s="11">
        <v>0.187</v>
      </c>
      <c r="I84" s="11">
        <v>-0.187</v>
      </c>
      <c r="J84" s="9" t="s">
        <v>22</v>
      </c>
    </row>
    <row r="85" spans="1:10" ht="12" customHeight="1" x14ac:dyDescent="0.25">
      <c r="A85" s="9" t="s">
        <v>41</v>
      </c>
      <c r="B85" s="9" t="s">
        <v>134</v>
      </c>
      <c r="C85" s="11">
        <v>0</v>
      </c>
      <c r="D85" s="11">
        <v>6.8000000000000005E-2</v>
      </c>
      <c r="E85" s="11">
        <v>0.08</v>
      </c>
      <c r="F85" s="11">
        <v>0.13</v>
      </c>
      <c r="G85" s="11">
        <v>0.61799999999999999</v>
      </c>
      <c r="H85" s="11">
        <v>0.61799999999999999</v>
      </c>
      <c r="I85" s="11">
        <v>0.61799999999999999</v>
      </c>
      <c r="J85" s="9" t="s">
        <v>27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2"/>
  <sheetViews>
    <sheetView workbookViewId="0"/>
  </sheetViews>
  <sheetFormatPr defaultRowHeight="13.2" x14ac:dyDescent="0.25"/>
  <cols>
    <col min="1" max="1" width="25" customWidth="1"/>
    <col min="2" max="3" width="56.44140625" customWidth="1"/>
  </cols>
  <sheetData>
    <row r="1" spans="1:3" ht="12" customHeight="1" x14ac:dyDescent="0.25">
      <c r="A1" s="15" t="s">
        <v>135</v>
      </c>
      <c r="B1" s="15" t="s">
        <v>136</v>
      </c>
      <c r="C1" s="15"/>
    </row>
    <row r="2" spans="1:3" ht="12" customHeight="1" x14ac:dyDescent="0.25">
      <c r="A2" s="12" t="s">
        <v>137</v>
      </c>
      <c r="B2" s="12" t="s">
        <v>138</v>
      </c>
      <c r="C2" s="12"/>
    </row>
    <row r="3" spans="1:3" ht="12" customHeight="1" x14ac:dyDescent="0.25">
      <c r="A3" s="12" t="s">
        <v>139</v>
      </c>
      <c r="B3" s="12" t="s">
        <v>140</v>
      </c>
      <c r="C3" s="12"/>
    </row>
    <row r="4" spans="1:3" ht="12" customHeight="1" x14ac:dyDescent="0.25">
      <c r="A4" s="12" t="s">
        <v>141</v>
      </c>
      <c r="B4" s="12" t="s">
        <v>142</v>
      </c>
      <c r="C4" s="12"/>
    </row>
    <row r="5" spans="1:3" ht="12" customHeight="1" x14ac:dyDescent="0.25">
      <c r="A5" s="12" t="s">
        <v>143</v>
      </c>
      <c r="B5" s="12" t="s">
        <v>144</v>
      </c>
      <c r="C5" s="12"/>
    </row>
    <row r="6" spans="1:3" ht="12" customHeight="1" x14ac:dyDescent="0.25">
      <c r="A6" s="12" t="s">
        <v>145</v>
      </c>
      <c r="B6" s="12" t="s">
        <v>146</v>
      </c>
      <c r="C6" s="12"/>
    </row>
    <row r="7" spans="1:3" ht="12" customHeight="1" x14ac:dyDescent="0.25">
      <c r="A7" s="12" t="s">
        <v>147</v>
      </c>
      <c r="B7" s="12" t="s">
        <v>148</v>
      </c>
      <c r="C7" s="12"/>
    </row>
    <row r="8" spans="1:3" ht="12" customHeight="1" x14ac:dyDescent="0.25">
      <c r="A8" s="12" t="s">
        <v>149</v>
      </c>
      <c r="B8" s="12" t="s">
        <v>150</v>
      </c>
      <c r="C8" s="12"/>
    </row>
    <row r="9" spans="1:3" ht="12" customHeight="1" x14ac:dyDescent="0.25">
      <c r="A9" s="12" t="s">
        <v>151</v>
      </c>
      <c r="B9" s="12" t="s">
        <v>152</v>
      </c>
      <c r="C9" s="12"/>
    </row>
    <row r="10" spans="1:3" ht="12" customHeight="1" x14ac:dyDescent="0.25">
      <c r="A10" s="12" t="s">
        <v>153</v>
      </c>
      <c r="B10" s="12" t="s">
        <v>154</v>
      </c>
      <c r="C10" s="12"/>
    </row>
    <row r="11" spans="1:3" ht="12" customHeight="1" x14ac:dyDescent="0.25">
      <c r="A11" s="12" t="s">
        <v>155</v>
      </c>
      <c r="B11" s="12" t="s">
        <v>156</v>
      </c>
      <c r="C11" s="12"/>
    </row>
    <row r="12" spans="1:3" ht="14.4" x14ac:dyDescent="0.25">
      <c r="A12" s="12"/>
      <c r="B12" s="12"/>
      <c r="C12" s="1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4"/>
  <sheetViews>
    <sheetView workbookViewId="0"/>
  </sheetViews>
  <sheetFormatPr defaultRowHeight="13.2" x14ac:dyDescent="0.25"/>
  <cols>
    <col min="1" max="1" width="26.44140625" customWidth="1"/>
    <col min="2" max="2" width="59.33203125" customWidth="1"/>
    <col min="3" max="3" width="39.33203125" customWidth="1"/>
    <col min="4" max="4" width="23.5546875" customWidth="1"/>
    <col min="5" max="5" width="39.33203125" customWidth="1"/>
  </cols>
  <sheetData>
    <row r="1" spans="1:5" ht="12" customHeight="1" x14ac:dyDescent="0.25">
      <c r="A1" s="15" t="s">
        <v>157</v>
      </c>
      <c r="B1" s="15" t="s">
        <v>158</v>
      </c>
      <c r="C1" s="15" t="s">
        <v>159</v>
      </c>
      <c r="D1" s="15" t="s">
        <v>160</v>
      </c>
      <c r="E1" s="15" t="s">
        <v>161</v>
      </c>
    </row>
    <row r="2" spans="1:5" ht="12" customHeight="1" x14ac:dyDescent="0.25">
      <c r="A2" s="12" t="s">
        <v>162</v>
      </c>
      <c r="B2" s="20" t="s">
        <v>163</v>
      </c>
      <c r="C2" s="20" t="s">
        <v>164</v>
      </c>
      <c r="D2" s="20" t="s">
        <v>165</v>
      </c>
      <c r="E2" s="20" t="s">
        <v>166</v>
      </c>
    </row>
    <row r="3" spans="1:5" ht="12" customHeight="1" x14ac:dyDescent="0.25">
      <c r="A3" s="12" t="s">
        <v>167</v>
      </c>
      <c r="B3" s="20" t="s">
        <v>168</v>
      </c>
      <c r="C3" s="20" t="s">
        <v>169</v>
      </c>
      <c r="D3" s="20" t="s">
        <v>170</v>
      </c>
      <c r="E3" s="20" t="s">
        <v>171</v>
      </c>
    </row>
    <row r="4" spans="1:5" ht="12" customHeight="1" x14ac:dyDescent="0.25">
      <c r="A4" s="12" t="s">
        <v>172</v>
      </c>
      <c r="B4" s="20" t="s">
        <v>173</v>
      </c>
      <c r="C4" s="20" t="s">
        <v>174</v>
      </c>
      <c r="D4" s="20" t="s">
        <v>175</v>
      </c>
      <c r="E4" s="20" t="s">
        <v>176</v>
      </c>
    </row>
    <row r="5" spans="1:5" ht="12" customHeight="1" x14ac:dyDescent="0.25">
      <c r="A5" s="12" t="s">
        <v>177</v>
      </c>
      <c r="B5" s="20" t="s">
        <v>178</v>
      </c>
      <c r="C5" s="20" t="s">
        <v>179</v>
      </c>
      <c r="D5" s="20" t="s">
        <v>180</v>
      </c>
      <c r="E5" s="20" t="s">
        <v>181</v>
      </c>
    </row>
    <row r="6" spans="1:5" ht="12" customHeight="1" x14ac:dyDescent="0.25">
      <c r="A6" s="12" t="s">
        <v>182</v>
      </c>
      <c r="B6" s="20" t="s">
        <v>183</v>
      </c>
      <c r="C6" s="20" t="s">
        <v>184</v>
      </c>
      <c r="D6" s="20" t="s">
        <v>185</v>
      </c>
      <c r="E6" s="20" t="s">
        <v>186</v>
      </c>
    </row>
    <row r="7" spans="1:5" ht="12" customHeight="1" x14ac:dyDescent="0.25">
      <c r="A7" s="12" t="s">
        <v>187</v>
      </c>
      <c r="B7" s="20" t="s">
        <v>188</v>
      </c>
      <c r="C7" s="20" t="s">
        <v>189</v>
      </c>
      <c r="D7" s="20" t="s">
        <v>190</v>
      </c>
      <c r="E7" s="20" t="s">
        <v>181</v>
      </c>
    </row>
    <row r="8" spans="1:5" ht="12" customHeight="1" x14ac:dyDescent="0.25">
      <c r="A8" s="12" t="s">
        <v>191</v>
      </c>
      <c r="B8" s="20" t="s">
        <v>192</v>
      </c>
      <c r="C8" s="20" t="s">
        <v>193</v>
      </c>
      <c r="D8" s="20" t="s">
        <v>194</v>
      </c>
      <c r="E8" s="20" t="s">
        <v>195</v>
      </c>
    </row>
    <row r="9" spans="1:5" ht="12" customHeight="1" x14ac:dyDescent="0.25">
      <c r="A9" s="12" t="s">
        <v>100</v>
      </c>
      <c r="B9" s="20" t="s">
        <v>196</v>
      </c>
      <c r="C9" s="20" t="s">
        <v>197</v>
      </c>
      <c r="D9" s="20" t="s">
        <v>198</v>
      </c>
      <c r="E9" s="20" t="s">
        <v>199</v>
      </c>
    </row>
    <row r="10" spans="1:5" ht="12" customHeight="1" x14ac:dyDescent="0.25">
      <c r="A10" s="12" t="s">
        <v>101</v>
      </c>
      <c r="B10" s="20" t="s">
        <v>200</v>
      </c>
      <c r="C10" s="20" t="s">
        <v>201</v>
      </c>
      <c r="D10" s="20" t="s">
        <v>202</v>
      </c>
      <c r="E10" s="20" t="s">
        <v>203</v>
      </c>
    </row>
    <row r="11" spans="1:5" ht="12" customHeight="1" x14ac:dyDescent="0.25">
      <c r="A11" s="12" t="s">
        <v>204</v>
      </c>
      <c r="B11" s="20" t="s">
        <v>205</v>
      </c>
      <c r="C11" s="20" t="s">
        <v>206</v>
      </c>
      <c r="D11" s="20" t="s">
        <v>207</v>
      </c>
      <c r="E11" s="20" t="s">
        <v>208</v>
      </c>
    </row>
    <row r="12" spans="1:5" ht="12" customHeight="1" x14ac:dyDescent="0.25">
      <c r="A12" s="12" t="s">
        <v>209</v>
      </c>
      <c r="B12" s="20" t="s">
        <v>210</v>
      </c>
      <c r="C12" s="20" t="s">
        <v>211</v>
      </c>
      <c r="D12" s="20" t="s">
        <v>212</v>
      </c>
      <c r="E12" s="20" t="s">
        <v>213</v>
      </c>
    </row>
    <row r="13" spans="1:5" ht="12" customHeight="1" x14ac:dyDescent="0.25">
      <c r="A13" s="12" t="s">
        <v>113</v>
      </c>
      <c r="B13" s="20" t="s">
        <v>214</v>
      </c>
      <c r="C13" s="20" t="s">
        <v>215</v>
      </c>
      <c r="D13" s="20" t="s">
        <v>216</v>
      </c>
      <c r="E13" s="20" t="s">
        <v>217</v>
      </c>
    </row>
    <row r="14" spans="1:5" ht="12" customHeight="1" x14ac:dyDescent="0.25">
      <c r="A14" s="12" t="s">
        <v>218</v>
      </c>
      <c r="B14" s="20" t="s">
        <v>219</v>
      </c>
      <c r="C14" s="20" t="s">
        <v>220</v>
      </c>
      <c r="D14" s="20" t="s">
        <v>221</v>
      </c>
      <c r="E14" s="20" t="s">
        <v>222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5"/>
  <sheetViews>
    <sheetView workbookViewId="0"/>
  </sheetViews>
  <sheetFormatPr defaultRowHeight="13.2" x14ac:dyDescent="0.25"/>
  <cols>
    <col min="1" max="1" width="26.44140625" customWidth="1"/>
    <col min="2" max="6" width="15.33203125" customWidth="1"/>
    <col min="7" max="7" width="22.109375" customWidth="1"/>
    <col min="8" max="8" width="20.6640625" customWidth="1"/>
    <col min="9" max="9" width="50.6640625" customWidth="1"/>
  </cols>
  <sheetData>
    <row r="1" spans="1:9" ht="12" customHeight="1" x14ac:dyDescent="0.25">
      <c r="A1" s="15" t="s">
        <v>92</v>
      </c>
      <c r="B1" s="15" t="s">
        <v>49</v>
      </c>
      <c r="C1" s="15" t="s">
        <v>52</v>
      </c>
      <c r="D1" s="15" t="s">
        <v>55</v>
      </c>
      <c r="E1" s="15" t="s">
        <v>58</v>
      </c>
      <c r="F1" s="15" t="s">
        <v>223</v>
      </c>
      <c r="G1" s="15" t="s">
        <v>224</v>
      </c>
      <c r="H1" s="15" t="s">
        <v>225</v>
      </c>
      <c r="I1" s="15" t="s">
        <v>226</v>
      </c>
    </row>
    <row r="2" spans="1:9" ht="12" customHeight="1" x14ac:dyDescent="0.25">
      <c r="A2" s="12" t="s">
        <v>38</v>
      </c>
      <c r="B2" s="14">
        <v>33.700000000000003</v>
      </c>
      <c r="C2" s="14">
        <v>21.9</v>
      </c>
      <c r="D2" s="14">
        <v>47.6</v>
      </c>
      <c r="E2" s="19">
        <v>0.77800000000000002</v>
      </c>
      <c r="F2" s="19">
        <v>0.27200000000000002</v>
      </c>
      <c r="G2" s="12" t="s">
        <v>5</v>
      </c>
      <c r="H2" s="12" t="s">
        <v>8</v>
      </c>
      <c r="I2" s="12" t="s">
        <v>227</v>
      </c>
    </row>
    <row r="3" spans="1:9" ht="12" customHeight="1" x14ac:dyDescent="0.25">
      <c r="A3" s="12" t="s">
        <v>39</v>
      </c>
      <c r="B3" s="14">
        <v>17.7</v>
      </c>
      <c r="C3" s="14">
        <v>5.7</v>
      </c>
      <c r="D3" s="14">
        <v>69.5</v>
      </c>
      <c r="E3" s="19">
        <v>0.84199999999999997</v>
      </c>
      <c r="F3" s="19">
        <v>0.29299999999999998</v>
      </c>
      <c r="G3" s="12" t="s">
        <v>7</v>
      </c>
      <c r="H3" s="12" t="s">
        <v>6</v>
      </c>
      <c r="I3" s="12" t="s">
        <v>227</v>
      </c>
    </row>
    <row r="4" spans="1:9" ht="12" customHeight="1" x14ac:dyDescent="0.25">
      <c r="A4" s="12" t="s">
        <v>40</v>
      </c>
      <c r="B4" s="14">
        <v>36.6</v>
      </c>
      <c r="C4" s="14">
        <v>27.6</v>
      </c>
      <c r="D4" s="14">
        <v>42.9</v>
      </c>
      <c r="E4" s="19">
        <v>0.66200000000000003</v>
      </c>
      <c r="F4" s="19">
        <v>0.20499999999999999</v>
      </c>
      <c r="G4" s="12" t="s">
        <v>7</v>
      </c>
      <c r="H4" s="12" t="s">
        <v>8</v>
      </c>
      <c r="I4" s="12" t="s">
        <v>228</v>
      </c>
    </row>
    <row r="5" spans="1:9" ht="12" customHeight="1" x14ac:dyDescent="0.25">
      <c r="A5" s="12" t="s">
        <v>41</v>
      </c>
      <c r="B5" s="14">
        <v>13.3</v>
      </c>
      <c r="C5" s="14">
        <v>4.8</v>
      </c>
      <c r="D5" s="14">
        <v>76.2</v>
      </c>
      <c r="E5" s="19">
        <v>0.91400000000000003</v>
      </c>
      <c r="F5" s="19">
        <v>0.29299999999999998</v>
      </c>
      <c r="G5" s="12" t="s">
        <v>7</v>
      </c>
      <c r="H5" s="12" t="s">
        <v>8</v>
      </c>
      <c r="I5" s="12" t="s">
        <v>229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1"/>
  <sheetViews>
    <sheetView workbookViewId="0"/>
  </sheetViews>
  <sheetFormatPr defaultRowHeight="13.2" x14ac:dyDescent="0.25"/>
  <cols>
    <col min="1" max="1" width="26.44140625" customWidth="1"/>
    <col min="2" max="2" width="9.33203125" customWidth="1"/>
    <col min="3" max="8" width="15.33203125" customWidth="1"/>
    <col min="9" max="10" width="17.88671875" customWidth="1"/>
  </cols>
  <sheetData>
    <row r="1" spans="1:10" ht="12" customHeight="1" x14ac:dyDescent="0.25">
      <c r="A1" s="15" t="s">
        <v>92</v>
      </c>
      <c r="B1" s="15" t="s">
        <v>230</v>
      </c>
      <c r="C1" s="15" t="s">
        <v>162</v>
      </c>
      <c r="D1" s="15" t="s">
        <v>231</v>
      </c>
      <c r="E1" s="15" t="s">
        <v>232</v>
      </c>
      <c r="F1" s="15" t="s">
        <v>233</v>
      </c>
      <c r="G1" s="15" t="s">
        <v>182</v>
      </c>
      <c r="H1" s="15" t="s">
        <v>187</v>
      </c>
      <c r="I1" s="15" t="s">
        <v>234</v>
      </c>
      <c r="J1" s="15" t="s">
        <v>235</v>
      </c>
    </row>
    <row r="2" spans="1:10" ht="12" customHeight="1" x14ac:dyDescent="0.25">
      <c r="A2" s="12" t="s">
        <v>38</v>
      </c>
      <c r="B2" s="12" t="s">
        <v>1</v>
      </c>
      <c r="C2" s="14">
        <v>47.3</v>
      </c>
      <c r="D2" s="14">
        <v>28.6</v>
      </c>
      <c r="E2" s="14">
        <v>28.6</v>
      </c>
      <c r="F2" s="14">
        <v>23.8</v>
      </c>
      <c r="G2" s="19">
        <v>0.56999999999999995</v>
      </c>
      <c r="H2" s="19">
        <v>0.24</v>
      </c>
      <c r="I2" s="12" t="s">
        <v>3</v>
      </c>
      <c r="J2" s="12" t="s">
        <v>8</v>
      </c>
    </row>
    <row r="3" spans="1:10" ht="12" customHeight="1" x14ac:dyDescent="0.25">
      <c r="A3" s="12" t="s">
        <v>38</v>
      </c>
      <c r="B3" s="12" t="s">
        <v>23</v>
      </c>
      <c r="C3" s="14">
        <v>37.4</v>
      </c>
      <c r="D3" s="14">
        <v>23.8</v>
      </c>
      <c r="E3" s="14">
        <v>9.5</v>
      </c>
      <c r="F3" s="14">
        <v>28.6</v>
      </c>
      <c r="G3" s="19">
        <v>0.70899999999999996</v>
      </c>
      <c r="H3" s="19">
        <v>0.25600000000000001</v>
      </c>
      <c r="I3" s="12" t="s">
        <v>5</v>
      </c>
      <c r="J3" s="12" t="s">
        <v>8</v>
      </c>
    </row>
    <row r="4" spans="1:10" ht="12" customHeight="1" x14ac:dyDescent="0.25">
      <c r="A4" s="12" t="s">
        <v>38</v>
      </c>
      <c r="B4" s="12" t="s">
        <v>24</v>
      </c>
      <c r="C4" s="14">
        <v>33.1</v>
      </c>
      <c r="D4" s="14">
        <v>19</v>
      </c>
      <c r="E4" s="14">
        <v>9.5</v>
      </c>
      <c r="F4" s="14">
        <v>47.6</v>
      </c>
      <c r="G4" s="19">
        <v>0.81399999999999995</v>
      </c>
      <c r="H4" s="19">
        <v>0.27500000000000002</v>
      </c>
      <c r="I4" s="12" t="s">
        <v>5</v>
      </c>
      <c r="J4" s="12" t="s">
        <v>8</v>
      </c>
    </row>
    <row r="5" spans="1:10" ht="12" customHeight="1" x14ac:dyDescent="0.25">
      <c r="A5" s="12" t="s">
        <v>38</v>
      </c>
      <c r="B5" s="12" t="s">
        <v>25</v>
      </c>
      <c r="C5" s="14">
        <v>26.9</v>
      </c>
      <c r="D5" s="14">
        <v>19</v>
      </c>
      <c r="E5" s="14">
        <v>9.5</v>
      </c>
      <c r="F5" s="14">
        <v>66.7</v>
      </c>
      <c r="G5" s="19">
        <v>0.88500000000000001</v>
      </c>
      <c r="H5" s="19">
        <v>0.29099999999999998</v>
      </c>
      <c r="I5" s="12" t="s">
        <v>5</v>
      </c>
      <c r="J5" s="12" t="s">
        <v>8</v>
      </c>
    </row>
    <row r="6" spans="1:10" ht="12" customHeight="1" x14ac:dyDescent="0.25">
      <c r="A6" s="12" t="s">
        <v>38</v>
      </c>
      <c r="B6" s="12" t="s">
        <v>26</v>
      </c>
      <c r="C6" s="14">
        <v>23.7</v>
      </c>
      <c r="D6" s="14">
        <v>19</v>
      </c>
      <c r="E6" s="14">
        <v>9.5</v>
      </c>
      <c r="F6" s="14">
        <v>71.400000000000006</v>
      </c>
      <c r="G6" s="19">
        <v>0.91400000000000003</v>
      </c>
      <c r="H6" s="19">
        <v>0.29899999999999999</v>
      </c>
      <c r="I6" s="12" t="s">
        <v>5</v>
      </c>
      <c r="J6" s="12" t="s">
        <v>8</v>
      </c>
    </row>
    <row r="7" spans="1:10" ht="12" customHeight="1" x14ac:dyDescent="0.25">
      <c r="A7" s="12" t="s">
        <v>39</v>
      </c>
      <c r="B7" s="12" t="s">
        <v>1</v>
      </c>
      <c r="C7" s="14">
        <v>13</v>
      </c>
      <c r="D7" s="14">
        <v>4.8</v>
      </c>
      <c r="E7" s="14">
        <v>4.8</v>
      </c>
      <c r="F7" s="14">
        <v>76.2</v>
      </c>
      <c r="G7" s="19">
        <v>0.86699999999999999</v>
      </c>
      <c r="H7" s="19">
        <v>0.316</v>
      </c>
      <c r="I7" s="12" t="s">
        <v>7</v>
      </c>
      <c r="J7" s="12" t="s">
        <v>6</v>
      </c>
    </row>
    <row r="8" spans="1:10" ht="12" customHeight="1" x14ac:dyDescent="0.25">
      <c r="A8" s="12" t="s">
        <v>39</v>
      </c>
      <c r="B8" s="12" t="s">
        <v>23</v>
      </c>
      <c r="C8" s="14">
        <v>16.5</v>
      </c>
      <c r="D8" s="14">
        <v>4.8</v>
      </c>
      <c r="E8" s="14">
        <v>4.8</v>
      </c>
      <c r="F8" s="14">
        <v>71.400000000000006</v>
      </c>
      <c r="G8" s="19">
        <v>0.83699999999999997</v>
      </c>
      <c r="H8" s="19">
        <v>0.30599999999999999</v>
      </c>
      <c r="I8" s="12" t="s">
        <v>7</v>
      </c>
      <c r="J8" s="12" t="s">
        <v>5</v>
      </c>
    </row>
    <row r="9" spans="1:10" ht="12" customHeight="1" x14ac:dyDescent="0.25">
      <c r="A9" s="12" t="s">
        <v>39</v>
      </c>
      <c r="B9" s="12" t="s">
        <v>24</v>
      </c>
      <c r="C9" s="14">
        <v>24.4</v>
      </c>
      <c r="D9" s="14">
        <v>9.5</v>
      </c>
      <c r="E9" s="14">
        <v>4.8</v>
      </c>
      <c r="F9" s="14">
        <v>61.9</v>
      </c>
      <c r="G9" s="19">
        <v>0.82099999999999995</v>
      </c>
      <c r="H9" s="19">
        <v>0.27700000000000002</v>
      </c>
      <c r="I9" s="12" t="s">
        <v>7</v>
      </c>
      <c r="J9" s="12" t="s">
        <v>6</v>
      </c>
    </row>
    <row r="10" spans="1:10" ht="12" customHeight="1" x14ac:dyDescent="0.25">
      <c r="A10" s="12" t="s">
        <v>39</v>
      </c>
      <c r="B10" s="12" t="s">
        <v>25</v>
      </c>
      <c r="C10" s="14">
        <v>20.399999999999999</v>
      </c>
      <c r="D10" s="14">
        <v>4.8</v>
      </c>
      <c r="E10" s="14">
        <v>0</v>
      </c>
      <c r="F10" s="14">
        <v>61.9</v>
      </c>
      <c r="G10" s="19">
        <v>0.86</v>
      </c>
      <c r="H10" s="19">
        <v>0.27100000000000002</v>
      </c>
      <c r="I10" s="12" t="s">
        <v>7</v>
      </c>
      <c r="J10" s="12" t="s">
        <v>6</v>
      </c>
    </row>
    <row r="11" spans="1:10" ht="12" customHeight="1" x14ac:dyDescent="0.25">
      <c r="A11" s="12" t="s">
        <v>39</v>
      </c>
      <c r="B11" s="12" t="s">
        <v>26</v>
      </c>
      <c r="C11" s="14">
        <v>14.4</v>
      </c>
      <c r="D11" s="14">
        <v>4.8</v>
      </c>
      <c r="E11" s="14">
        <v>0</v>
      </c>
      <c r="F11" s="14">
        <v>76.2</v>
      </c>
      <c r="G11" s="19">
        <v>0.82599999999999996</v>
      </c>
      <c r="H11" s="19">
        <v>0.29699999999999999</v>
      </c>
      <c r="I11" s="12" t="s">
        <v>5</v>
      </c>
      <c r="J11" s="12" t="s">
        <v>6</v>
      </c>
    </row>
    <row r="12" spans="1:10" ht="12" customHeight="1" x14ac:dyDescent="0.25">
      <c r="A12" s="12" t="s">
        <v>40</v>
      </c>
      <c r="B12" s="12" t="s">
        <v>1</v>
      </c>
      <c r="C12" s="14">
        <v>28.6</v>
      </c>
      <c r="D12" s="14">
        <v>28.6</v>
      </c>
      <c r="E12" s="14">
        <v>4.8</v>
      </c>
      <c r="F12" s="14">
        <v>57.1</v>
      </c>
      <c r="G12" s="19">
        <v>0.84099999999999997</v>
      </c>
      <c r="H12" s="19">
        <v>0.246</v>
      </c>
      <c r="I12" s="12" t="s">
        <v>7</v>
      </c>
      <c r="J12" s="12" t="s">
        <v>5</v>
      </c>
    </row>
    <row r="13" spans="1:10" ht="12" customHeight="1" x14ac:dyDescent="0.25">
      <c r="A13" s="12" t="s">
        <v>40</v>
      </c>
      <c r="B13" s="12" t="s">
        <v>23</v>
      </c>
      <c r="C13" s="14">
        <v>41.9</v>
      </c>
      <c r="D13" s="14">
        <v>38.1</v>
      </c>
      <c r="E13" s="14">
        <v>4.8</v>
      </c>
      <c r="F13" s="14">
        <v>38.1</v>
      </c>
      <c r="G13" s="19">
        <v>0.58299999999999996</v>
      </c>
      <c r="H13" s="19">
        <v>0.2</v>
      </c>
      <c r="I13" s="12" t="s">
        <v>7</v>
      </c>
      <c r="J13" s="12" t="s">
        <v>8</v>
      </c>
    </row>
    <row r="14" spans="1:10" ht="12" customHeight="1" x14ac:dyDescent="0.25">
      <c r="A14" s="12" t="s">
        <v>40</v>
      </c>
      <c r="B14" s="12" t="s">
        <v>24</v>
      </c>
      <c r="C14" s="14">
        <v>45.3</v>
      </c>
      <c r="D14" s="14">
        <v>28.6</v>
      </c>
      <c r="E14" s="14">
        <v>23.8</v>
      </c>
      <c r="F14" s="14">
        <v>28.6</v>
      </c>
      <c r="G14" s="19">
        <v>0.51</v>
      </c>
      <c r="H14" s="19">
        <v>0.16600000000000001</v>
      </c>
      <c r="I14" s="12" t="s">
        <v>6</v>
      </c>
      <c r="J14" s="12" t="s">
        <v>8</v>
      </c>
    </row>
    <row r="15" spans="1:10" ht="12" customHeight="1" x14ac:dyDescent="0.25">
      <c r="A15" s="12" t="s">
        <v>40</v>
      </c>
      <c r="B15" s="12" t="s">
        <v>25</v>
      </c>
      <c r="C15" s="14">
        <v>34.4</v>
      </c>
      <c r="D15" s="14">
        <v>19</v>
      </c>
      <c r="E15" s="14">
        <v>4.8</v>
      </c>
      <c r="F15" s="14">
        <v>42.9</v>
      </c>
      <c r="G15" s="19">
        <v>0.56899999999999995</v>
      </c>
      <c r="H15" s="19">
        <v>0.182</v>
      </c>
      <c r="I15" s="12" t="s">
        <v>6</v>
      </c>
      <c r="J15" s="12" t="s">
        <v>8</v>
      </c>
    </row>
    <row r="16" spans="1:10" ht="12" customHeight="1" x14ac:dyDescent="0.25">
      <c r="A16" s="12" t="s">
        <v>40</v>
      </c>
      <c r="B16" s="12" t="s">
        <v>26</v>
      </c>
      <c r="C16" s="14">
        <v>32.9</v>
      </c>
      <c r="D16" s="14">
        <v>23.8</v>
      </c>
      <c r="E16" s="14">
        <v>19</v>
      </c>
      <c r="F16" s="14">
        <v>47.6</v>
      </c>
      <c r="G16" s="19">
        <v>0.80800000000000005</v>
      </c>
      <c r="H16" s="19">
        <v>0.23200000000000001</v>
      </c>
      <c r="I16" s="12" t="s">
        <v>5</v>
      </c>
      <c r="J16" s="12" t="s">
        <v>8</v>
      </c>
    </row>
    <row r="17" spans="1:10" ht="12" customHeight="1" x14ac:dyDescent="0.25">
      <c r="A17" s="12" t="s">
        <v>41</v>
      </c>
      <c r="B17" s="12" t="s">
        <v>1</v>
      </c>
      <c r="C17" s="14">
        <v>5.9</v>
      </c>
      <c r="D17" s="14">
        <v>0</v>
      </c>
      <c r="E17" s="14">
        <v>0</v>
      </c>
      <c r="F17" s="14">
        <v>85.7</v>
      </c>
      <c r="G17" s="19">
        <v>0.89500000000000002</v>
      </c>
      <c r="H17" s="19">
        <v>0.32300000000000001</v>
      </c>
      <c r="I17" s="12" t="s">
        <v>7</v>
      </c>
      <c r="J17" s="12" t="s">
        <v>8</v>
      </c>
    </row>
    <row r="18" spans="1:10" ht="12" customHeight="1" x14ac:dyDescent="0.25">
      <c r="A18" s="12" t="s">
        <v>41</v>
      </c>
      <c r="B18" s="12" t="s">
        <v>23</v>
      </c>
      <c r="C18" s="14">
        <v>11.1</v>
      </c>
      <c r="D18" s="14">
        <v>4.8</v>
      </c>
      <c r="E18" s="14">
        <v>0</v>
      </c>
      <c r="F18" s="14">
        <v>76.2</v>
      </c>
      <c r="G18" s="19">
        <v>0.92300000000000004</v>
      </c>
      <c r="H18" s="19">
        <v>0.309</v>
      </c>
      <c r="I18" s="12" t="s">
        <v>7</v>
      </c>
      <c r="J18" s="12" t="s">
        <v>8</v>
      </c>
    </row>
    <row r="19" spans="1:10" ht="12" customHeight="1" x14ac:dyDescent="0.25">
      <c r="A19" s="12" t="s">
        <v>41</v>
      </c>
      <c r="B19" s="12" t="s">
        <v>24</v>
      </c>
      <c r="C19" s="14">
        <v>18.399999999999999</v>
      </c>
      <c r="D19" s="14">
        <v>9.5</v>
      </c>
      <c r="E19" s="14">
        <v>4.8</v>
      </c>
      <c r="F19" s="14">
        <v>76.2</v>
      </c>
      <c r="G19" s="19">
        <v>0.94099999999999995</v>
      </c>
      <c r="H19" s="19">
        <v>0.28799999999999998</v>
      </c>
      <c r="I19" s="12" t="s">
        <v>7</v>
      </c>
      <c r="J19" s="12" t="s">
        <v>8</v>
      </c>
    </row>
    <row r="20" spans="1:10" ht="12" customHeight="1" x14ac:dyDescent="0.25">
      <c r="A20" s="12" t="s">
        <v>41</v>
      </c>
      <c r="B20" s="12" t="s">
        <v>25</v>
      </c>
      <c r="C20" s="14">
        <v>16.2</v>
      </c>
      <c r="D20" s="14">
        <v>4.8</v>
      </c>
      <c r="E20" s="14">
        <v>0</v>
      </c>
      <c r="F20" s="14">
        <v>71.400000000000006</v>
      </c>
      <c r="G20" s="19">
        <v>0.95599999999999996</v>
      </c>
      <c r="H20" s="19">
        <v>0.27600000000000002</v>
      </c>
      <c r="I20" s="12" t="s">
        <v>7</v>
      </c>
      <c r="J20" s="12" t="s">
        <v>8</v>
      </c>
    </row>
    <row r="21" spans="1:10" ht="12" customHeight="1" x14ac:dyDescent="0.25">
      <c r="A21" s="12" t="s">
        <v>41</v>
      </c>
      <c r="B21" s="12" t="s">
        <v>26</v>
      </c>
      <c r="C21" s="14">
        <v>15.1</v>
      </c>
      <c r="D21" s="14">
        <v>4.8</v>
      </c>
      <c r="E21" s="14">
        <v>0</v>
      </c>
      <c r="F21" s="14">
        <v>71.400000000000006</v>
      </c>
      <c r="G21" s="19">
        <v>0.85499999999999998</v>
      </c>
      <c r="H21" s="19">
        <v>0.26700000000000002</v>
      </c>
      <c r="I21" s="12" t="s">
        <v>7</v>
      </c>
      <c r="J21" s="12" t="s">
        <v>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85"/>
  <sheetViews>
    <sheetView workbookViewId="0"/>
  </sheetViews>
  <sheetFormatPr defaultRowHeight="13.2" x14ac:dyDescent="0.25"/>
  <cols>
    <col min="1" max="1" width="26.44140625" customWidth="1"/>
    <col min="2" max="2" width="23.5546875" customWidth="1"/>
    <col min="3" max="7" width="11.88671875" customWidth="1"/>
    <col min="8" max="8" width="12.44140625" customWidth="1"/>
    <col min="9" max="9" width="15.33203125" customWidth="1"/>
    <col min="10" max="10" width="16.109375" customWidth="1"/>
  </cols>
  <sheetData>
    <row r="1" spans="1:10" ht="12" customHeight="1" x14ac:dyDescent="0.25">
      <c r="A1" s="15" t="s">
        <v>92</v>
      </c>
      <c r="B1" s="15" t="s">
        <v>107</v>
      </c>
      <c r="C1" s="15" t="s">
        <v>108</v>
      </c>
      <c r="D1" s="15" t="s">
        <v>109</v>
      </c>
      <c r="E1" s="15" t="s">
        <v>110</v>
      </c>
      <c r="F1" s="15" t="s">
        <v>111</v>
      </c>
      <c r="G1" s="15" t="s">
        <v>112</v>
      </c>
      <c r="H1" s="15" t="s">
        <v>113</v>
      </c>
      <c r="I1" s="15" t="s">
        <v>114</v>
      </c>
      <c r="J1" s="10" t="s">
        <v>115</v>
      </c>
    </row>
    <row r="2" spans="1:10" ht="12" customHeight="1" x14ac:dyDescent="0.25">
      <c r="A2" s="12" t="s">
        <v>38</v>
      </c>
      <c r="B2" s="12" t="s">
        <v>116</v>
      </c>
      <c r="C2" s="19">
        <v>0.34399999999999997</v>
      </c>
      <c r="D2" s="19">
        <v>0.41599999999999998</v>
      </c>
      <c r="E2" s="19">
        <v>0.44</v>
      </c>
      <c r="F2" s="19">
        <v>0.441</v>
      </c>
      <c r="G2" s="19">
        <v>0.438</v>
      </c>
      <c r="H2" s="19">
        <v>9.8000000000000004E-2</v>
      </c>
      <c r="I2" s="19">
        <v>9.4E-2</v>
      </c>
      <c r="J2" s="9" t="s">
        <v>22</v>
      </c>
    </row>
    <row r="3" spans="1:10" ht="12" customHeight="1" x14ac:dyDescent="0.25">
      <c r="A3" s="12" t="s">
        <v>38</v>
      </c>
      <c r="B3" s="12" t="s">
        <v>117</v>
      </c>
      <c r="C3" s="19">
        <v>0.189</v>
      </c>
      <c r="D3" s="19">
        <v>0.19600000000000001</v>
      </c>
      <c r="E3" s="19">
        <v>0.25900000000000001</v>
      </c>
      <c r="F3" s="19">
        <v>0.218</v>
      </c>
      <c r="G3" s="19">
        <v>0.20399999999999999</v>
      </c>
      <c r="H3" s="19">
        <v>7.0000000000000007E-2</v>
      </c>
      <c r="I3" s="19">
        <v>1.4999999999999999E-2</v>
      </c>
      <c r="J3" s="9" t="s">
        <v>22</v>
      </c>
    </row>
    <row r="4" spans="1:10" ht="12" customHeight="1" x14ac:dyDescent="0.25">
      <c r="A4" s="12" t="s">
        <v>38</v>
      </c>
      <c r="B4" s="12" t="s">
        <v>118</v>
      </c>
      <c r="C4" s="19">
        <v>0.188</v>
      </c>
      <c r="D4" s="19">
        <v>0.19600000000000001</v>
      </c>
      <c r="E4" s="19">
        <v>0.26200000000000001</v>
      </c>
      <c r="F4" s="19">
        <v>0.22</v>
      </c>
      <c r="G4" s="19">
        <v>0.20399999999999999</v>
      </c>
      <c r="H4" s="19">
        <v>7.3999999999999996E-2</v>
      </c>
      <c r="I4" s="19">
        <v>1.7000000000000001E-2</v>
      </c>
      <c r="J4" s="9" t="s">
        <v>22</v>
      </c>
    </row>
    <row r="5" spans="1:10" ht="12" customHeight="1" x14ac:dyDescent="0.25">
      <c r="A5" s="12" t="s">
        <v>38</v>
      </c>
      <c r="B5" s="12" t="s">
        <v>119</v>
      </c>
      <c r="C5" s="19">
        <v>0.81</v>
      </c>
      <c r="D5" s="19">
        <v>0.83099999999999996</v>
      </c>
      <c r="E5" s="19">
        <v>0.83499999999999996</v>
      </c>
      <c r="F5" s="19">
        <v>0.90700000000000003</v>
      </c>
      <c r="G5" s="19">
        <v>0.93700000000000006</v>
      </c>
      <c r="H5" s="19">
        <v>0.127</v>
      </c>
      <c r="I5" s="19">
        <v>0.127</v>
      </c>
      <c r="J5" s="9" t="s">
        <v>22</v>
      </c>
    </row>
    <row r="6" spans="1:10" ht="12" customHeight="1" x14ac:dyDescent="0.25">
      <c r="A6" s="12" t="s">
        <v>38</v>
      </c>
      <c r="B6" s="12" t="s">
        <v>76</v>
      </c>
      <c r="C6" s="19">
        <v>0.189</v>
      </c>
      <c r="D6" s="19">
        <v>0.11600000000000001</v>
      </c>
      <c r="E6" s="19">
        <v>4.7E-2</v>
      </c>
      <c r="F6" s="19">
        <v>2E-3</v>
      </c>
      <c r="G6" s="19">
        <v>0</v>
      </c>
      <c r="H6" s="19">
        <v>0.189</v>
      </c>
      <c r="I6" s="19">
        <v>-0.189</v>
      </c>
      <c r="J6" s="9" t="s">
        <v>22</v>
      </c>
    </row>
    <row r="7" spans="1:10" ht="12" customHeight="1" x14ac:dyDescent="0.25">
      <c r="A7" s="12" t="s">
        <v>38</v>
      </c>
      <c r="B7" s="12" t="s">
        <v>120</v>
      </c>
      <c r="C7" s="19">
        <v>0.19</v>
      </c>
      <c r="D7" s="19">
        <v>0.106</v>
      </c>
      <c r="E7" s="19">
        <v>4.7E-2</v>
      </c>
      <c r="F7" s="19">
        <v>1.7000000000000001E-2</v>
      </c>
      <c r="G7" s="19">
        <v>4.0000000000000001E-3</v>
      </c>
      <c r="H7" s="19">
        <v>0.186</v>
      </c>
      <c r="I7" s="19">
        <v>-0.186</v>
      </c>
      <c r="J7" s="9" t="s">
        <v>22</v>
      </c>
    </row>
    <row r="8" spans="1:10" ht="12" customHeight="1" x14ac:dyDescent="0.25">
      <c r="A8" s="12" t="s">
        <v>38</v>
      </c>
      <c r="B8" s="12" t="s">
        <v>121</v>
      </c>
      <c r="C8" s="19">
        <v>0</v>
      </c>
      <c r="D8" s="19">
        <v>0.12</v>
      </c>
      <c r="E8" s="19">
        <v>0.122</v>
      </c>
      <c r="F8" s="19">
        <v>0.09</v>
      </c>
      <c r="G8" s="19">
        <v>5.1999999999999998E-2</v>
      </c>
      <c r="H8" s="19">
        <v>0.122</v>
      </c>
      <c r="I8" s="19">
        <v>5.1999999999999998E-2</v>
      </c>
      <c r="J8" s="9" t="s">
        <v>22</v>
      </c>
    </row>
    <row r="9" spans="1:10" ht="12" customHeight="1" x14ac:dyDescent="0.25">
      <c r="A9" s="12" t="s">
        <v>38</v>
      </c>
      <c r="B9" s="12" t="s">
        <v>122</v>
      </c>
      <c r="C9" s="19">
        <v>0</v>
      </c>
      <c r="D9" s="19">
        <v>0.12</v>
      </c>
      <c r="E9" s="19">
        <v>0.121</v>
      </c>
      <c r="F9" s="19">
        <v>8.8999999999999996E-2</v>
      </c>
      <c r="G9" s="19">
        <v>5.5E-2</v>
      </c>
      <c r="H9" s="19">
        <v>0.121</v>
      </c>
      <c r="I9" s="19">
        <v>5.5E-2</v>
      </c>
      <c r="J9" s="9" t="s">
        <v>22</v>
      </c>
    </row>
    <row r="10" spans="1:10" ht="12" customHeight="1" x14ac:dyDescent="0.25">
      <c r="A10" s="12" t="s">
        <v>38</v>
      </c>
      <c r="B10" s="12" t="s">
        <v>123</v>
      </c>
      <c r="C10" s="19">
        <v>0.65700000000000003</v>
      </c>
      <c r="D10" s="19">
        <v>0.57999999999999996</v>
      </c>
      <c r="E10" s="19">
        <v>0.55800000000000005</v>
      </c>
      <c r="F10" s="19">
        <v>0.56000000000000005</v>
      </c>
      <c r="G10" s="19">
        <v>0.56100000000000005</v>
      </c>
      <c r="H10" s="19">
        <v>9.9000000000000005E-2</v>
      </c>
      <c r="I10" s="19">
        <v>-9.6000000000000002E-2</v>
      </c>
      <c r="J10" s="9" t="s">
        <v>22</v>
      </c>
    </row>
    <row r="11" spans="1:10" ht="12" customHeight="1" x14ac:dyDescent="0.25">
      <c r="A11" s="12" t="s">
        <v>38</v>
      </c>
      <c r="B11" s="12" t="s">
        <v>124</v>
      </c>
      <c r="C11" s="19">
        <v>0</v>
      </c>
      <c r="D11" s="19">
        <v>0</v>
      </c>
      <c r="E11" s="19">
        <v>1E-3</v>
      </c>
      <c r="F11" s="19">
        <v>0</v>
      </c>
      <c r="G11" s="19">
        <v>0</v>
      </c>
      <c r="H11" s="19">
        <v>1E-3</v>
      </c>
      <c r="I11" s="19">
        <v>0</v>
      </c>
      <c r="J11" s="9" t="s">
        <v>22</v>
      </c>
    </row>
    <row r="12" spans="1:10" ht="12" customHeight="1" x14ac:dyDescent="0.25">
      <c r="A12" s="12" t="s">
        <v>38</v>
      </c>
      <c r="B12" s="12" t="s">
        <v>125</v>
      </c>
      <c r="C12" s="19">
        <v>0</v>
      </c>
      <c r="D12" s="19">
        <v>5.8999999999999997E-2</v>
      </c>
      <c r="E12" s="19">
        <v>1.7000000000000001E-2</v>
      </c>
      <c r="F12" s="19">
        <v>5.0000000000000001E-3</v>
      </c>
      <c r="G12" s="19">
        <v>0</v>
      </c>
      <c r="H12" s="19">
        <v>5.8999999999999997E-2</v>
      </c>
      <c r="I12" s="19">
        <v>0</v>
      </c>
      <c r="J12" s="9" t="s">
        <v>22</v>
      </c>
    </row>
    <row r="13" spans="1:10" ht="12" customHeight="1" x14ac:dyDescent="0.25">
      <c r="A13" s="12" t="s">
        <v>38</v>
      </c>
      <c r="B13" s="12" t="s">
        <v>126</v>
      </c>
      <c r="C13" s="19">
        <v>0.5</v>
      </c>
      <c r="D13" s="19">
        <v>0.499</v>
      </c>
      <c r="E13" s="19">
        <v>0.502</v>
      </c>
      <c r="F13" s="19">
        <v>0.5</v>
      </c>
      <c r="G13" s="19">
        <v>0.5</v>
      </c>
      <c r="H13" s="19">
        <v>2E-3</v>
      </c>
      <c r="I13" s="19">
        <v>-1E-3</v>
      </c>
      <c r="J13" s="9" t="s">
        <v>27</v>
      </c>
    </row>
    <row r="14" spans="1:10" ht="12" customHeight="1" x14ac:dyDescent="0.25">
      <c r="A14" s="12" t="s">
        <v>38</v>
      </c>
      <c r="B14" s="12" t="s">
        <v>127</v>
      </c>
      <c r="C14" s="19">
        <v>0.98299999999999998</v>
      </c>
      <c r="D14" s="19">
        <v>0.998</v>
      </c>
      <c r="E14" s="19">
        <v>1</v>
      </c>
      <c r="F14" s="19">
        <v>1</v>
      </c>
      <c r="G14" s="19">
        <v>1</v>
      </c>
      <c r="H14" s="19">
        <v>1.7000000000000001E-2</v>
      </c>
      <c r="I14" s="19">
        <v>1.7000000000000001E-2</v>
      </c>
      <c r="J14" s="9" t="s">
        <v>22</v>
      </c>
    </row>
    <row r="15" spans="1:10" ht="12" customHeight="1" x14ac:dyDescent="0.25">
      <c r="A15" s="12" t="s">
        <v>38</v>
      </c>
      <c r="B15" s="12" t="s">
        <v>72</v>
      </c>
      <c r="C15" s="19">
        <v>0.501</v>
      </c>
      <c r="D15" s="19">
        <v>0.13100000000000001</v>
      </c>
      <c r="E15" s="19">
        <v>3.3000000000000002E-2</v>
      </c>
      <c r="F15" s="19">
        <v>3.0000000000000001E-3</v>
      </c>
      <c r="G15" s="19">
        <v>0</v>
      </c>
      <c r="H15" s="19">
        <v>0.501</v>
      </c>
      <c r="I15" s="19">
        <v>-0.501</v>
      </c>
      <c r="J15" s="9" t="s">
        <v>27</v>
      </c>
    </row>
    <row r="16" spans="1:10" ht="12" customHeight="1" x14ac:dyDescent="0.25">
      <c r="A16" s="12" t="s">
        <v>38</v>
      </c>
      <c r="B16" s="12" t="s">
        <v>128</v>
      </c>
      <c r="C16" s="19">
        <v>0.5</v>
      </c>
      <c r="D16" s="19">
        <v>0.501</v>
      </c>
      <c r="E16" s="19">
        <v>0.497</v>
      </c>
      <c r="F16" s="19">
        <v>0.503</v>
      </c>
      <c r="G16" s="19">
        <v>0.499</v>
      </c>
      <c r="H16" s="19">
        <v>5.0000000000000001E-3</v>
      </c>
      <c r="I16" s="19">
        <v>-1E-3</v>
      </c>
      <c r="J16" s="9" t="s">
        <v>27</v>
      </c>
    </row>
    <row r="17" spans="1:10" ht="12" customHeight="1" x14ac:dyDescent="0.25">
      <c r="A17" s="12" t="s">
        <v>38</v>
      </c>
      <c r="B17" s="12" t="s">
        <v>129</v>
      </c>
      <c r="C17" s="19">
        <v>0.89300000000000002</v>
      </c>
      <c r="D17" s="19">
        <v>0.93100000000000005</v>
      </c>
      <c r="E17" s="19">
        <v>0.95599999999999996</v>
      </c>
      <c r="F17" s="19">
        <v>0.97299999999999998</v>
      </c>
      <c r="G17" s="19">
        <v>0.99</v>
      </c>
      <c r="H17" s="19">
        <v>9.6000000000000002E-2</v>
      </c>
      <c r="I17" s="19">
        <v>9.6000000000000002E-2</v>
      </c>
      <c r="J17" s="9" t="s">
        <v>22</v>
      </c>
    </row>
    <row r="18" spans="1:10" ht="12" customHeight="1" x14ac:dyDescent="0.25">
      <c r="A18" s="12" t="s">
        <v>38</v>
      </c>
      <c r="B18" s="12" t="s">
        <v>130</v>
      </c>
      <c r="C18" s="19">
        <v>0.501</v>
      </c>
      <c r="D18" s="19">
        <v>0.13</v>
      </c>
      <c r="E18" s="19">
        <v>3.4000000000000002E-2</v>
      </c>
      <c r="F18" s="19">
        <v>3.0000000000000001E-3</v>
      </c>
      <c r="G18" s="19">
        <v>0</v>
      </c>
      <c r="H18" s="19">
        <v>0.501</v>
      </c>
      <c r="I18" s="19">
        <v>-0.501</v>
      </c>
      <c r="J18" s="9" t="s">
        <v>27</v>
      </c>
    </row>
    <row r="19" spans="1:10" ht="12" customHeight="1" x14ac:dyDescent="0.25">
      <c r="A19" s="12" t="s">
        <v>38</v>
      </c>
      <c r="B19" s="12" t="s">
        <v>131</v>
      </c>
      <c r="C19" s="19">
        <v>0.5</v>
      </c>
      <c r="D19" s="19">
        <v>0.222</v>
      </c>
      <c r="E19" s="19">
        <v>0.105</v>
      </c>
      <c r="F19" s="19">
        <v>5.8000000000000003E-2</v>
      </c>
      <c r="G19" s="19">
        <v>2.1000000000000001E-2</v>
      </c>
      <c r="H19" s="19">
        <v>0.47899999999999998</v>
      </c>
      <c r="I19" s="19">
        <v>-0.47899999999999998</v>
      </c>
      <c r="J19" s="9" t="s">
        <v>27</v>
      </c>
    </row>
    <row r="20" spans="1:10" ht="12" customHeight="1" x14ac:dyDescent="0.25">
      <c r="A20" s="12" t="s">
        <v>38</v>
      </c>
      <c r="B20" s="12" t="s">
        <v>132</v>
      </c>
      <c r="C20" s="19">
        <v>0.109</v>
      </c>
      <c r="D20" s="19">
        <v>3.5999999999999997E-2</v>
      </c>
      <c r="E20" s="19">
        <v>8.0000000000000002E-3</v>
      </c>
      <c r="F20" s="19">
        <v>1E-3</v>
      </c>
      <c r="G20" s="19">
        <v>0</v>
      </c>
      <c r="H20" s="19">
        <v>0.109</v>
      </c>
      <c r="I20" s="19">
        <v>-0.109</v>
      </c>
      <c r="J20" s="9" t="s">
        <v>22</v>
      </c>
    </row>
    <row r="21" spans="1:10" ht="12" customHeight="1" x14ac:dyDescent="0.25">
      <c r="A21" s="12" t="s">
        <v>38</v>
      </c>
      <c r="B21" s="12" t="s">
        <v>133</v>
      </c>
      <c r="C21" s="19">
        <v>0.108</v>
      </c>
      <c r="D21" s="19">
        <v>2.8000000000000001E-2</v>
      </c>
      <c r="E21" s="19">
        <v>6.0000000000000001E-3</v>
      </c>
      <c r="F21" s="19">
        <v>1E-3</v>
      </c>
      <c r="G21" s="19">
        <v>0</v>
      </c>
      <c r="H21" s="19">
        <v>0.108</v>
      </c>
      <c r="I21" s="19">
        <v>-0.108</v>
      </c>
      <c r="J21" s="9" t="s">
        <v>22</v>
      </c>
    </row>
    <row r="22" spans="1:10" ht="12" customHeight="1" x14ac:dyDescent="0.25">
      <c r="A22" s="12" t="s">
        <v>38</v>
      </c>
      <c r="B22" s="12" t="s">
        <v>134</v>
      </c>
      <c r="C22" s="19">
        <v>0.501</v>
      </c>
      <c r="D22" s="19">
        <v>0.39100000000000001</v>
      </c>
      <c r="E22" s="19">
        <v>0.67500000000000004</v>
      </c>
      <c r="F22" s="19">
        <v>0.879</v>
      </c>
      <c r="G22" s="19">
        <v>0.997</v>
      </c>
      <c r="H22" s="19">
        <v>0.60699999999999998</v>
      </c>
      <c r="I22" s="19">
        <v>0.496</v>
      </c>
      <c r="J22" s="9" t="s">
        <v>27</v>
      </c>
    </row>
    <row r="23" spans="1:10" ht="12" customHeight="1" x14ac:dyDescent="0.25">
      <c r="A23" s="12" t="s">
        <v>39</v>
      </c>
      <c r="B23" s="12" t="s">
        <v>116</v>
      </c>
      <c r="C23" s="19">
        <v>1</v>
      </c>
      <c r="D23" s="19">
        <v>1</v>
      </c>
      <c r="E23" s="19">
        <v>1</v>
      </c>
      <c r="F23" s="19">
        <v>1</v>
      </c>
      <c r="G23" s="19">
        <v>1</v>
      </c>
      <c r="H23" s="19">
        <v>0</v>
      </c>
      <c r="I23" s="19">
        <v>0</v>
      </c>
      <c r="J23" s="9" t="s">
        <v>22</v>
      </c>
    </row>
    <row r="24" spans="1:10" ht="12" customHeight="1" x14ac:dyDescent="0.25">
      <c r="A24" s="12" t="s">
        <v>39</v>
      </c>
      <c r="B24" s="12" t="s">
        <v>117</v>
      </c>
      <c r="C24" s="19">
        <v>1</v>
      </c>
      <c r="D24" s="19">
        <v>1</v>
      </c>
      <c r="E24" s="19">
        <v>1</v>
      </c>
      <c r="F24" s="19">
        <v>1</v>
      </c>
      <c r="G24" s="19">
        <v>1</v>
      </c>
      <c r="H24" s="19">
        <v>0</v>
      </c>
      <c r="I24" s="19">
        <v>0</v>
      </c>
      <c r="J24" s="9" t="s">
        <v>22</v>
      </c>
    </row>
    <row r="25" spans="1:10" ht="12" customHeight="1" x14ac:dyDescent="0.25">
      <c r="A25" s="12" t="s">
        <v>39</v>
      </c>
      <c r="B25" s="12" t="s">
        <v>118</v>
      </c>
      <c r="C25" s="19">
        <v>0.191</v>
      </c>
      <c r="D25" s="19">
        <v>0.19800000000000001</v>
      </c>
      <c r="E25" s="19">
        <v>0.25800000000000001</v>
      </c>
      <c r="F25" s="19">
        <v>0.219</v>
      </c>
      <c r="G25" s="19">
        <v>0.20499999999999999</v>
      </c>
      <c r="H25" s="19">
        <v>6.7000000000000004E-2</v>
      </c>
      <c r="I25" s="19">
        <v>1.4E-2</v>
      </c>
      <c r="J25" s="9" t="s">
        <v>22</v>
      </c>
    </row>
    <row r="26" spans="1:10" ht="12" customHeight="1" x14ac:dyDescent="0.25">
      <c r="A26" s="12" t="s">
        <v>39</v>
      </c>
      <c r="B26" s="12" t="s">
        <v>119</v>
      </c>
      <c r="C26" s="19">
        <v>0.81</v>
      </c>
      <c r="D26" s="19">
        <v>0.83099999999999996</v>
      </c>
      <c r="E26" s="19">
        <v>0.83599999999999997</v>
      </c>
      <c r="F26" s="19">
        <v>0.90900000000000003</v>
      </c>
      <c r="G26" s="19">
        <v>0.93600000000000005</v>
      </c>
      <c r="H26" s="19">
        <v>0.127</v>
      </c>
      <c r="I26" s="19">
        <v>0.127</v>
      </c>
      <c r="J26" s="9" t="s">
        <v>22</v>
      </c>
    </row>
    <row r="27" spans="1:10" ht="12" customHeight="1" x14ac:dyDescent="0.25">
      <c r="A27" s="12" t="s">
        <v>39</v>
      </c>
      <c r="B27" s="12" t="s">
        <v>76</v>
      </c>
      <c r="C27" s="19">
        <v>1</v>
      </c>
      <c r="D27" s="19">
        <v>1</v>
      </c>
      <c r="E27" s="19">
        <v>0.79700000000000004</v>
      </c>
      <c r="F27" s="19">
        <v>0.434</v>
      </c>
      <c r="G27" s="19">
        <v>2.5999999999999999E-2</v>
      </c>
      <c r="H27" s="19">
        <v>0.97399999999999998</v>
      </c>
      <c r="I27" s="19">
        <v>-0.97399999999999998</v>
      </c>
      <c r="J27" s="9" t="s">
        <v>27</v>
      </c>
    </row>
    <row r="28" spans="1:10" ht="12" customHeight="1" x14ac:dyDescent="0.25">
      <c r="A28" s="12" t="s">
        <v>39</v>
      </c>
      <c r="B28" s="12" t="s">
        <v>120</v>
      </c>
      <c r="C28" s="19">
        <v>1</v>
      </c>
      <c r="D28" s="19">
        <v>1</v>
      </c>
      <c r="E28" s="19">
        <v>0.996</v>
      </c>
      <c r="F28" s="19">
        <v>0.998</v>
      </c>
      <c r="G28" s="19">
        <v>1</v>
      </c>
      <c r="H28" s="19">
        <v>4.0000000000000001E-3</v>
      </c>
      <c r="I28" s="19">
        <v>0</v>
      </c>
      <c r="J28" s="9" t="s">
        <v>22</v>
      </c>
    </row>
    <row r="29" spans="1:10" ht="12" customHeight="1" x14ac:dyDescent="0.25">
      <c r="A29" s="12" t="s">
        <v>39</v>
      </c>
      <c r="B29" s="12" t="s">
        <v>121</v>
      </c>
      <c r="C29" s="19">
        <v>0</v>
      </c>
      <c r="D29" s="19">
        <v>2.9000000000000001E-2</v>
      </c>
      <c r="E29" s="19">
        <v>1.7000000000000001E-2</v>
      </c>
      <c r="F29" s="19">
        <v>8.9999999999999993E-3</v>
      </c>
      <c r="G29" s="19">
        <v>2E-3</v>
      </c>
      <c r="H29" s="19">
        <v>2.9000000000000001E-2</v>
      </c>
      <c r="I29" s="19">
        <v>2E-3</v>
      </c>
      <c r="J29" s="9" t="s">
        <v>22</v>
      </c>
    </row>
    <row r="30" spans="1:10" ht="12" customHeight="1" x14ac:dyDescent="0.25">
      <c r="A30" s="12" t="s">
        <v>39</v>
      </c>
      <c r="B30" s="12" t="s">
        <v>122</v>
      </c>
      <c r="C30" s="19">
        <v>0</v>
      </c>
      <c r="D30" s="19">
        <v>0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9" t="s">
        <v>22</v>
      </c>
    </row>
    <row r="31" spans="1:10" ht="12" customHeight="1" x14ac:dyDescent="0.25">
      <c r="A31" s="12" t="s">
        <v>39</v>
      </c>
      <c r="B31" s="12" t="s">
        <v>123</v>
      </c>
      <c r="C31" s="19">
        <v>0.32800000000000001</v>
      </c>
      <c r="D31" s="19">
        <v>0.29399999999999998</v>
      </c>
      <c r="E31" s="19">
        <v>0.26</v>
      </c>
      <c r="F31" s="19">
        <v>0.23100000000000001</v>
      </c>
      <c r="G31" s="19">
        <v>0.188</v>
      </c>
      <c r="H31" s="19">
        <v>0.14000000000000001</v>
      </c>
      <c r="I31" s="19">
        <v>-0.14000000000000001</v>
      </c>
      <c r="J31" s="9" t="s">
        <v>22</v>
      </c>
    </row>
    <row r="32" spans="1:10" ht="12" customHeight="1" x14ac:dyDescent="0.25">
      <c r="A32" s="12" t="s">
        <v>39</v>
      </c>
      <c r="B32" s="12" t="s">
        <v>124</v>
      </c>
      <c r="C32" s="19">
        <v>1</v>
      </c>
      <c r="D32" s="19">
        <v>0.98299999999999998</v>
      </c>
      <c r="E32" s="19">
        <v>0.96199999999999997</v>
      </c>
      <c r="F32" s="19">
        <v>0.88600000000000001</v>
      </c>
      <c r="G32" s="19">
        <v>0.39700000000000002</v>
      </c>
      <c r="H32" s="19">
        <v>0.60299999999999998</v>
      </c>
      <c r="I32" s="19">
        <v>-0.60299999999999998</v>
      </c>
      <c r="J32" s="9" t="s">
        <v>27</v>
      </c>
    </row>
    <row r="33" spans="1:10" ht="12" customHeight="1" x14ac:dyDescent="0.25">
      <c r="A33" s="12" t="s">
        <v>39</v>
      </c>
      <c r="B33" s="12" t="s">
        <v>125</v>
      </c>
      <c r="C33" s="19">
        <v>1</v>
      </c>
      <c r="D33" s="19">
        <v>0.95399999999999996</v>
      </c>
      <c r="E33" s="19">
        <v>0.93799999999999994</v>
      </c>
      <c r="F33" s="19">
        <v>0.94299999999999995</v>
      </c>
      <c r="G33" s="19">
        <v>0.95499999999999996</v>
      </c>
      <c r="H33" s="19">
        <v>6.2E-2</v>
      </c>
      <c r="I33" s="19">
        <v>-4.4999999999999998E-2</v>
      </c>
      <c r="J33" s="9" t="s">
        <v>22</v>
      </c>
    </row>
    <row r="34" spans="1:10" ht="12" customHeight="1" x14ac:dyDescent="0.25">
      <c r="A34" s="12" t="s">
        <v>39</v>
      </c>
      <c r="B34" s="12" t="s">
        <v>126</v>
      </c>
      <c r="C34" s="19">
        <v>0</v>
      </c>
      <c r="D34" s="19">
        <v>0</v>
      </c>
      <c r="E34" s="19">
        <v>3.0000000000000001E-3</v>
      </c>
      <c r="F34" s="19">
        <v>1E-3</v>
      </c>
      <c r="G34" s="19">
        <v>0</v>
      </c>
      <c r="H34" s="19">
        <v>3.0000000000000001E-3</v>
      </c>
      <c r="I34" s="19">
        <v>0</v>
      </c>
      <c r="J34" s="9" t="s">
        <v>22</v>
      </c>
    </row>
    <row r="35" spans="1:10" ht="12" customHeight="1" x14ac:dyDescent="0.25">
      <c r="A35" s="12" t="s">
        <v>39</v>
      </c>
      <c r="B35" s="12" t="s">
        <v>127</v>
      </c>
      <c r="C35" s="19">
        <v>0.95099999999999996</v>
      </c>
      <c r="D35" s="19">
        <v>0.98899999999999999</v>
      </c>
      <c r="E35" s="19">
        <v>0.999</v>
      </c>
      <c r="F35" s="19">
        <v>0.999</v>
      </c>
      <c r="G35" s="19">
        <v>1</v>
      </c>
      <c r="H35" s="19">
        <v>4.9000000000000002E-2</v>
      </c>
      <c r="I35" s="19">
        <v>4.9000000000000002E-2</v>
      </c>
      <c r="J35" s="9" t="s">
        <v>22</v>
      </c>
    </row>
    <row r="36" spans="1:10" ht="12" customHeight="1" x14ac:dyDescent="0.25">
      <c r="A36" s="12" t="s">
        <v>39</v>
      </c>
      <c r="B36" s="12" t="s">
        <v>72</v>
      </c>
      <c r="C36" s="19">
        <v>1</v>
      </c>
      <c r="D36" s="19">
        <v>1</v>
      </c>
      <c r="E36" s="19">
        <v>0.66500000000000004</v>
      </c>
      <c r="F36" s="19">
        <v>0.27800000000000002</v>
      </c>
      <c r="G36" s="19">
        <v>1.0999999999999999E-2</v>
      </c>
      <c r="H36" s="19">
        <v>0.98899999999999999</v>
      </c>
      <c r="I36" s="19">
        <v>-0.98899999999999999</v>
      </c>
      <c r="J36" s="9" t="s">
        <v>27</v>
      </c>
    </row>
    <row r="37" spans="1:10" ht="12" customHeight="1" x14ac:dyDescent="0.25">
      <c r="A37" s="12" t="s">
        <v>39</v>
      </c>
      <c r="B37" s="12" t="s">
        <v>128</v>
      </c>
      <c r="C37" s="19">
        <v>1</v>
      </c>
      <c r="D37" s="19">
        <v>1</v>
      </c>
      <c r="E37" s="19">
        <v>1</v>
      </c>
      <c r="F37" s="19">
        <v>1</v>
      </c>
      <c r="G37" s="19">
        <v>1</v>
      </c>
      <c r="H37" s="19">
        <v>0</v>
      </c>
      <c r="I37" s="19">
        <v>0</v>
      </c>
      <c r="J37" s="9" t="s">
        <v>22</v>
      </c>
    </row>
    <row r="38" spans="1:10" ht="12" customHeight="1" x14ac:dyDescent="0.25">
      <c r="A38" s="12" t="s">
        <v>39</v>
      </c>
      <c r="B38" s="12" t="s">
        <v>129</v>
      </c>
      <c r="C38" s="19">
        <v>0.89100000000000001</v>
      </c>
      <c r="D38" s="19">
        <v>0.93100000000000005</v>
      </c>
      <c r="E38" s="19">
        <v>0.95699999999999996</v>
      </c>
      <c r="F38" s="19">
        <v>0.97299999999999998</v>
      </c>
      <c r="G38" s="19">
        <v>0.99</v>
      </c>
      <c r="H38" s="19">
        <v>9.9000000000000005E-2</v>
      </c>
      <c r="I38" s="19">
        <v>9.9000000000000005E-2</v>
      </c>
      <c r="J38" s="9" t="s">
        <v>22</v>
      </c>
    </row>
    <row r="39" spans="1:10" ht="12" customHeight="1" x14ac:dyDescent="0.25">
      <c r="A39" s="12" t="s">
        <v>39</v>
      </c>
      <c r="B39" s="12" t="s">
        <v>130</v>
      </c>
      <c r="C39" s="19">
        <v>1</v>
      </c>
      <c r="D39" s="19">
        <v>1</v>
      </c>
      <c r="E39" s="19">
        <v>1</v>
      </c>
      <c r="F39" s="19">
        <v>0.98199999999999998</v>
      </c>
      <c r="G39" s="19">
        <v>0.34</v>
      </c>
      <c r="H39" s="19">
        <v>0.66</v>
      </c>
      <c r="I39" s="19">
        <v>-0.66</v>
      </c>
      <c r="J39" s="9" t="s">
        <v>27</v>
      </c>
    </row>
    <row r="40" spans="1:10" ht="12" customHeight="1" x14ac:dyDescent="0.25">
      <c r="A40" s="12" t="s">
        <v>39</v>
      </c>
      <c r="B40" s="12" t="s">
        <v>131</v>
      </c>
      <c r="C40" s="19">
        <v>1</v>
      </c>
      <c r="D40" s="19">
        <v>1</v>
      </c>
      <c r="E40" s="19">
        <v>1</v>
      </c>
      <c r="F40" s="19">
        <v>1</v>
      </c>
      <c r="G40" s="19">
        <v>1</v>
      </c>
      <c r="H40" s="19">
        <v>0</v>
      </c>
      <c r="I40" s="19">
        <v>0</v>
      </c>
      <c r="J40" s="9" t="s">
        <v>22</v>
      </c>
    </row>
    <row r="41" spans="1:10" ht="12" customHeight="1" x14ac:dyDescent="0.25">
      <c r="A41" s="12" t="s">
        <v>39</v>
      </c>
      <c r="B41" s="12" t="s">
        <v>132</v>
      </c>
      <c r="C41" s="19">
        <v>1</v>
      </c>
      <c r="D41" s="19">
        <v>0.79600000000000004</v>
      </c>
      <c r="E41" s="19">
        <v>0.52900000000000003</v>
      </c>
      <c r="F41" s="19">
        <v>0.13900000000000001</v>
      </c>
      <c r="G41" s="19">
        <v>4.0000000000000001E-3</v>
      </c>
      <c r="H41" s="19">
        <v>0.996</v>
      </c>
      <c r="I41" s="19">
        <v>-0.996</v>
      </c>
      <c r="J41" s="9" t="s">
        <v>27</v>
      </c>
    </row>
    <row r="42" spans="1:10" ht="12" customHeight="1" x14ac:dyDescent="0.25">
      <c r="A42" s="12" t="s">
        <v>39</v>
      </c>
      <c r="B42" s="12" t="s">
        <v>133</v>
      </c>
      <c r="C42" s="19">
        <v>1</v>
      </c>
      <c r="D42" s="19">
        <v>0.79900000000000004</v>
      </c>
      <c r="E42" s="19">
        <v>0.67800000000000005</v>
      </c>
      <c r="F42" s="19">
        <v>0.65900000000000003</v>
      </c>
      <c r="G42" s="19">
        <v>0.78700000000000003</v>
      </c>
      <c r="H42" s="19">
        <v>0.34100000000000003</v>
      </c>
      <c r="I42" s="19">
        <v>-0.21299999999999999</v>
      </c>
      <c r="J42" s="9" t="s">
        <v>22</v>
      </c>
    </row>
    <row r="43" spans="1:10" ht="12" customHeight="1" x14ac:dyDescent="0.25">
      <c r="A43" s="12" t="s">
        <v>39</v>
      </c>
      <c r="B43" s="12" t="s">
        <v>134</v>
      </c>
      <c r="C43" s="19">
        <v>0.501</v>
      </c>
      <c r="D43" s="19">
        <v>0.49299999999999999</v>
      </c>
      <c r="E43" s="19">
        <v>0.62</v>
      </c>
      <c r="F43" s="19">
        <v>0.82399999999999995</v>
      </c>
      <c r="G43" s="19">
        <v>0.995</v>
      </c>
      <c r="H43" s="19">
        <v>0.501</v>
      </c>
      <c r="I43" s="19">
        <v>0.49299999999999999</v>
      </c>
      <c r="J43" s="9" t="s">
        <v>27</v>
      </c>
    </row>
    <row r="44" spans="1:10" ht="12" customHeight="1" x14ac:dyDescent="0.25">
      <c r="A44" s="12" t="s">
        <v>40</v>
      </c>
      <c r="B44" s="12" t="s">
        <v>116</v>
      </c>
      <c r="C44" s="19">
        <v>0.36199999999999999</v>
      </c>
      <c r="D44" s="19">
        <v>0.39300000000000002</v>
      </c>
      <c r="E44" s="19">
        <v>0.46100000000000002</v>
      </c>
      <c r="F44" s="19">
        <v>0.442</v>
      </c>
      <c r="G44" s="19">
        <v>0.46600000000000003</v>
      </c>
      <c r="H44" s="19">
        <v>0.104</v>
      </c>
      <c r="I44" s="19">
        <v>0.104</v>
      </c>
      <c r="J44" s="9" t="s">
        <v>22</v>
      </c>
    </row>
    <row r="45" spans="1:10" ht="12" customHeight="1" x14ac:dyDescent="0.25">
      <c r="A45" s="12" t="s">
        <v>40</v>
      </c>
      <c r="B45" s="12" t="s">
        <v>117</v>
      </c>
      <c r="C45" s="19">
        <v>0.36099999999999999</v>
      </c>
      <c r="D45" s="19">
        <v>0.39700000000000002</v>
      </c>
      <c r="E45" s="19">
        <v>0.45500000000000002</v>
      </c>
      <c r="F45" s="19">
        <v>0.443</v>
      </c>
      <c r="G45" s="19">
        <v>0.46400000000000002</v>
      </c>
      <c r="H45" s="19">
        <v>0.10199999999999999</v>
      </c>
      <c r="I45" s="19">
        <v>0.10199999999999999</v>
      </c>
      <c r="J45" s="9" t="s">
        <v>22</v>
      </c>
    </row>
    <row r="46" spans="1:10" ht="12" customHeight="1" x14ac:dyDescent="0.25">
      <c r="A46" s="9" t="s">
        <v>40</v>
      </c>
      <c r="B46" s="9" t="s">
        <v>118</v>
      </c>
      <c r="C46" s="11">
        <v>0.36099999999999999</v>
      </c>
      <c r="D46" s="11">
        <v>0.39500000000000002</v>
      </c>
      <c r="E46" s="11">
        <v>0.45700000000000002</v>
      </c>
      <c r="F46" s="11">
        <v>0.441</v>
      </c>
      <c r="G46" s="11">
        <v>0.46400000000000002</v>
      </c>
      <c r="H46" s="11">
        <v>0.104</v>
      </c>
      <c r="I46" s="11">
        <v>0.104</v>
      </c>
      <c r="J46" s="9" t="s">
        <v>22</v>
      </c>
    </row>
    <row r="47" spans="1:10" ht="12" customHeight="1" x14ac:dyDescent="0.25">
      <c r="A47" s="9" t="s">
        <v>40</v>
      </c>
      <c r="B47" s="9" t="s">
        <v>119</v>
      </c>
      <c r="C47" s="11">
        <v>0.80900000000000005</v>
      </c>
      <c r="D47" s="11">
        <v>0.83099999999999996</v>
      </c>
      <c r="E47" s="11">
        <v>0.83599999999999997</v>
      </c>
      <c r="F47" s="11">
        <v>0.90700000000000003</v>
      </c>
      <c r="G47" s="11">
        <v>0.93799999999999994</v>
      </c>
      <c r="H47" s="11">
        <v>0.129</v>
      </c>
      <c r="I47" s="11">
        <v>0.129</v>
      </c>
      <c r="J47" s="9" t="s">
        <v>22</v>
      </c>
    </row>
    <row r="48" spans="1:10" ht="12" customHeight="1" x14ac:dyDescent="0.25">
      <c r="A48" s="9" t="s">
        <v>40</v>
      </c>
      <c r="B48" s="9" t="s">
        <v>76</v>
      </c>
      <c r="C48" s="11">
        <v>1</v>
      </c>
      <c r="D48" s="11">
        <v>0.84099999999999997</v>
      </c>
      <c r="E48" s="11">
        <v>0.60099999999999998</v>
      </c>
      <c r="F48" s="11">
        <v>0.189</v>
      </c>
      <c r="G48" s="11">
        <v>7.0000000000000001E-3</v>
      </c>
      <c r="H48" s="11">
        <v>0.99299999999999999</v>
      </c>
      <c r="I48" s="11">
        <v>-0.99299999999999999</v>
      </c>
      <c r="J48" s="9" t="s">
        <v>27</v>
      </c>
    </row>
    <row r="49" spans="1:10" ht="12" customHeight="1" x14ac:dyDescent="0.25">
      <c r="A49" s="9" t="s">
        <v>40</v>
      </c>
      <c r="B49" s="9" t="s">
        <v>120</v>
      </c>
      <c r="C49" s="11">
        <v>1</v>
      </c>
      <c r="D49" s="11">
        <v>0.84099999999999997</v>
      </c>
      <c r="E49" s="11">
        <v>0.77300000000000002</v>
      </c>
      <c r="F49" s="11">
        <v>0.78</v>
      </c>
      <c r="G49" s="11">
        <v>0.88300000000000001</v>
      </c>
      <c r="H49" s="11">
        <v>0.22700000000000001</v>
      </c>
      <c r="I49" s="11">
        <v>-0.11700000000000001</v>
      </c>
      <c r="J49" s="9" t="s">
        <v>22</v>
      </c>
    </row>
    <row r="50" spans="1:10" ht="12" customHeight="1" x14ac:dyDescent="0.25">
      <c r="A50" s="9" t="s">
        <v>40</v>
      </c>
      <c r="B50" s="9" t="s">
        <v>121</v>
      </c>
      <c r="C50" s="11">
        <v>1</v>
      </c>
      <c r="D50" s="11">
        <v>1</v>
      </c>
      <c r="E50" s="11">
        <v>0.999</v>
      </c>
      <c r="F50" s="11">
        <v>1</v>
      </c>
      <c r="G50" s="11">
        <v>1</v>
      </c>
      <c r="H50" s="11">
        <v>1E-3</v>
      </c>
      <c r="I50" s="11">
        <v>0</v>
      </c>
      <c r="J50" s="9" t="s">
        <v>22</v>
      </c>
    </row>
    <row r="51" spans="1:10" ht="12" customHeight="1" x14ac:dyDescent="0.25">
      <c r="A51" s="9" t="s">
        <v>40</v>
      </c>
      <c r="B51" s="9" t="s">
        <v>122</v>
      </c>
      <c r="C51" s="11">
        <v>0</v>
      </c>
      <c r="D51" s="11">
        <v>1.4999999999999999E-2</v>
      </c>
      <c r="E51" s="11">
        <v>8.0000000000000002E-3</v>
      </c>
      <c r="F51" s="11">
        <v>3.0000000000000001E-3</v>
      </c>
      <c r="G51" s="11">
        <v>1E-3</v>
      </c>
      <c r="H51" s="11">
        <v>1.4999999999999999E-2</v>
      </c>
      <c r="I51" s="11">
        <v>1E-3</v>
      </c>
      <c r="J51" s="9" t="s">
        <v>22</v>
      </c>
    </row>
    <row r="52" spans="1:10" ht="12" customHeight="1" x14ac:dyDescent="0.25">
      <c r="A52" s="9" t="s">
        <v>40</v>
      </c>
      <c r="B52" s="9" t="s">
        <v>123</v>
      </c>
      <c r="C52" s="11">
        <v>0.80900000000000005</v>
      </c>
      <c r="D52" s="11">
        <v>0.80300000000000005</v>
      </c>
      <c r="E52" s="11">
        <v>0.74</v>
      </c>
      <c r="F52" s="11">
        <v>0.78400000000000003</v>
      </c>
      <c r="G52" s="11">
        <v>0.79700000000000004</v>
      </c>
      <c r="H52" s="11">
        <v>7.0000000000000007E-2</v>
      </c>
      <c r="I52" s="11">
        <v>-1.2E-2</v>
      </c>
      <c r="J52" s="9" t="s">
        <v>22</v>
      </c>
    </row>
    <row r="53" spans="1:10" ht="12" customHeight="1" x14ac:dyDescent="0.25">
      <c r="A53" s="9" t="s">
        <v>40</v>
      </c>
      <c r="B53" s="9" t="s">
        <v>124</v>
      </c>
      <c r="C53" s="11">
        <v>1</v>
      </c>
      <c r="D53" s="11">
        <v>0.99399999999999999</v>
      </c>
      <c r="E53" s="11">
        <v>0.98</v>
      </c>
      <c r="F53" s="11">
        <v>0.98099999999999998</v>
      </c>
      <c r="G53" s="11">
        <v>0.192</v>
      </c>
      <c r="H53" s="11">
        <v>0.80800000000000005</v>
      </c>
      <c r="I53" s="11">
        <v>-0.80800000000000005</v>
      </c>
      <c r="J53" s="9" t="s">
        <v>27</v>
      </c>
    </row>
    <row r="54" spans="1:10" ht="12" customHeight="1" x14ac:dyDescent="0.25">
      <c r="A54" s="9" t="s">
        <v>40</v>
      </c>
      <c r="B54" s="9" t="s">
        <v>125</v>
      </c>
      <c r="C54" s="11">
        <v>0</v>
      </c>
      <c r="D54" s="11">
        <v>0</v>
      </c>
      <c r="E54" s="11">
        <v>3.0000000000000001E-3</v>
      </c>
      <c r="F54" s="11">
        <v>0</v>
      </c>
      <c r="G54" s="11">
        <v>0</v>
      </c>
      <c r="H54" s="11">
        <v>3.0000000000000001E-3</v>
      </c>
      <c r="I54" s="11">
        <v>0</v>
      </c>
      <c r="J54" s="9" t="s">
        <v>22</v>
      </c>
    </row>
    <row r="55" spans="1:10" ht="12" customHeight="1" x14ac:dyDescent="0.25">
      <c r="A55" s="9" t="s">
        <v>40</v>
      </c>
      <c r="B55" s="9" t="s">
        <v>126</v>
      </c>
      <c r="C55" s="11">
        <v>0</v>
      </c>
      <c r="D55" s="11">
        <v>9.2999999999999999E-2</v>
      </c>
      <c r="E55" s="11">
        <v>0.121</v>
      </c>
      <c r="F55" s="11">
        <v>8.5000000000000006E-2</v>
      </c>
      <c r="G55" s="11">
        <v>5.8000000000000003E-2</v>
      </c>
      <c r="H55" s="11">
        <v>0.121</v>
      </c>
      <c r="I55" s="11">
        <v>5.8000000000000003E-2</v>
      </c>
      <c r="J55" s="9" t="s">
        <v>22</v>
      </c>
    </row>
    <row r="56" spans="1:10" ht="12" customHeight="1" x14ac:dyDescent="0.25">
      <c r="A56" s="9" t="s">
        <v>40</v>
      </c>
      <c r="B56" s="9" t="s">
        <v>127</v>
      </c>
      <c r="C56" s="11">
        <v>0.96499999999999997</v>
      </c>
      <c r="D56" s="11">
        <v>0.99</v>
      </c>
      <c r="E56" s="11">
        <v>0.997</v>
      </c>
      <c r="F56" s="11">
        <v>0.999</v>
      </c>
      <c r="G56" s="11">
        <v>1</v>
      </c>
      <c r="H56" s="11">
        <v>3.5000000000000003E-2</v>
      </c>
      <c r="I56" s="11">
        <v>3.5000000000000003E-2</v>
      </c>
      <c r="J56" s="9" t="s">
        <v>22</v>
      </c>
    </row>
    <row r="57" spans="1:10" ht="12" customHeight="1" x14ac:dyDescent="0.25">
      <c r="A57" s="9" t="s">
        <v>40</v>
      </c>
      <c r="B57" s="9" t="s">
        <v>72</v>
      </c>
      <c r="C57" s="11">
        <v>1</v>
      </c>
      <c r="D57" s="11">
        <v>0.59199999999999997</v>
      </c>
      <c r="E57" s="11">
        <v>0.188</v>
      </c>
      <c r="F57" s="11">
        <v>2.1999999999999999E-2</v>
      </c>
      <c r="G57" s="11">
        <v>0</v>
      </c>
      <c r="H57" s="11">
        <v>1</v>
      </c>
      <c r="I57" s="11">
        <v>-1</v>
      </c>
      <c r="J57" s="9" t="s">
        <v>27</v>
      </c>
    </row>
    <row r="58" spans="1:10" ht="12" customHeight="1" x14ac:dyDescent="0.25">
      <c r="A58" s="9" t="s">
        <v>40</v>
      </c>
      <c r="B58" s="9" t="s">
        <v>128</v>
      </c>
      <c r="C58" s="11">
        <v>0.499</v>
      </c>
      <c r="D58" s="11">
        <v>0.5</v>
      </c>
      <c r="E58" s="11">
        <v>0.498</v>
      </c>
      <c r="F58" s="11">
        <v>0.499</v>
      </c>
      <c r="G58" s="11">
        <v>0.497</v>
      </c>
      <c r="H58" s="11">
        <v>3.0000000000000001E-3</v>
      </c>
      <c r="I58" s="11">
        <v>-3.0000000000000001E-3</v>
      </c>
      <c r="J58" s="9" t="s">
        <v>27</v>
      </c>
    </row>
    <row r="59" spans="1:10" ht="12" customHeight="1" x14ac:dyDescent="0.25">
      <c r="A59" s="9" t="s">
        <v>40</v>
      </c>
      <c r="B59" s="9" t="s">
        <v>129</v>
      </c>
      <c r="C59" s="11">
        <v>0.80900000000000005</v>
      </c>
      <c r="D59" s="11">
        <v>0.80500000000000005</v>
      </c>
      <c r="E59" s="11">
        <v>0.74</v>
      </c>
      <c r="F59" s="11">
        <v>0.78300000000000003</v>
      </c>
      <c r="G59" s="11">
        <v>0.79700000000000004</v>
      </c>
      <c r="H59" s="11">
        <v>7.0000000000000007E-2</v>
      </c>
      <c r="I59" s="11">
        <v>-1.2E-2</v>
      </c>
      <c r="J59" s="9" t="s">
        <v>22</v>
      </c>
    </row>
    <row r="60" spans="1:10" ht="12" customHeight="1" x14ac:dyDescent="0.25">
      <c r="A60" s="9" t="s">
        <v>40</v>
      </c>
      <c r="B60" s="9" t="s">
        <v>130</v>
      </c>
      <c r="C60" s="11">
        <v>1</v>
      </c>
      <c r="D60" s="11">
        <v>0.93799999999999994</v>
      </c>
      <c r="E60" s="11">
        <v>0.49</v>
      </c>
      <c r="F60" s="11">
        <v>0.129</v>
      </c>
      <c r="G60" s="11">
        <v>3.0000000000000001E-3</v>
      </c>
      <c r="H60" s="11">
        <v>0.997</v>
      </c>
      <c r="I60" s="11">
        <v>-0.997</v>
      </c>
      <c r="J60" s="9" t="s">
        <v>27</v>
      </c>
    </row>
    <row r="61" spans="1:10" ht="12" customHeight="1" x14ac:dyDescent="0.25">
      <c r="A61" s="9" t="s">
        <v>40</v>
      </c>
      <c r="B61" s="9" t="s">
        <v>131</v>
      </c>
      <c r="C61" s="11">
        <v>1</v>
      </c>
      <c r="D61" s="11">
        <v>0.56200000000000006</v>
      </c>
      <c r="E61" s="11">
        <v>0.316</v>
      </c>
      <c r="F61" s="11">
        <v>0.25700000000000001</v>
      </c>
      <c r="G61" s="11">
        <v>0.23799999999999999</v>
      </c>
      <c r="H61" s="11">
        <v>0.76200000000000001</v>
      </c>
      <c r="I61" s="11">
        <v>-0.76200000000000001</v>
      </c>
      <c r="J61" s="9" t="s">
        <v>27</v>
      </c>
    </row>
    <row r="62" spans="1:10" ht="12" customHeight="1" x14ac:dyDescent="0.25">
      <c r="A62" s="9" t="s">
        <v>40</v>
      </c>
      <c r="B62" s="9" t="s">
        <v>132</v>
      </c>
      <c r="C62" s="11">
        <v>0.59599999999999997</v>
      </c>
      <c r="D62" s="11">
        <v>0.38300000000000001</v>
      </c>
      <c r="E62" s="11">
        <v>0.11600000000000001</v>
      </c>
      <c r="F62" s="11">
        <v>2.7E-2</v>
      </c>
      <c r="G62" s="11">
        <v>0</v>
      </c>
      <c r="H62" s="11">
        <v>0.59599999999999997</v>
      </c>
      <c r="I62" s="11">
        <v>-0.59599999999999997</v>
      </c>
      <c r="J62" s="9" t="s">
        <v>27</v>
      </c>
    </row>
    <row r="63" spans="1:10" ht="12" customHeight="1" x14ac:dyDescent="0.25">
      <c r="A63" s="9" t="s">
        <v>40</v>
      </c>
      <c r="B63" s="9" t="s">
        <v>133</v>
      </c>
      <c r="C63" s="11">
        <v>0.59599999999999997</v>
      </c>
      <c r="D63" s="11">
        <v>0.35099999999999998</v>
      </c>
      <c r="E63" s="11">
        <v>0.23100000000000001</v>
      </c>
      <c r="F63" s="11">
        <v>0.18099999999999999</v>
      </c>
      <c r="G63" s="11">
        <v>0.104</v>
      </c>
      <c r="H63" s="11">
        <v>0.49199999999999999</v>
      </c>
      <c r="I63" s="11">
        <v>-0.49199999999999999</v>
      </c>
      <c r="J63" s="9" t="s">
        <v>27</v>
      </c>
    </row>
    <row r="64" spans="1:10" ht="12" customHeight="1" x14ac:dyDescent="0.25">
      <c r="A64" s="9" t="s">
        <v>40</v>
      </c>
      <c r="B64" s="9" t="s">
        <v>134</v>
      </c>
      <c r="C64" s="11">
        <v>0</v>
      </c>
      <c r="D64" s="11">
        <v>6.8000000000000005E-2</v>
      </c>
      <c r="E64" s="11">
        <v>0.08</v>
      </c>
      <c r="F64" s="11">
        <v>0.13</v>
      </c>
      <c r="G64" s="11">
        <v>0.62</v>
      </c>
      <c r="H64" s="11">
        <v>0.62</v>
      </c>
      <c r="I64" s="11">
        <v>0.62</v>
      </c>
      <c r="J64" s="9" t="s">
        <v>27</v>
      </c>
    </row>
    <row r="65" spans="1:10" ht="12" customHeight="1" x14ac:dyDescent="0.25">
      <c r="A65" s="9" t="s">
        <v>41</v>
      </c>
      <c r="B65" s="9" t="s">
        <v>116</v>
      </c>
      <c r="C65" s="11">
        <v>1</v>
      </c>
      <c r="D65" s="11">
        <v>1</v>
      </c>
      <c r="E65" s="11">
        <v>0.98</v>
      </c>
      <c r="F65" s="11">
        <v>0.99099999999999999</v>
      </c>
      <c r="G65" s="11">
        <v>0.998</v>
      </c>
      <c r="H65" s="11">
        <v>0.02</v>
      </c>
      <c r="I65" s="11">
        <v>-2E-3</v>
      </c>
      <c r="J65" s="9" t="s">
        <v>22</v>
      </c>
    </row>
    <row r="66" spans="1:10" ht="12" customHeight="1" x14ac:dyDescent="0.25">
      <c r="A66" s="9" t="s">
        <v>41</v>
      </c>
      <c r="B66" s="9" t="s">
        <v>117</v>
      </c>
      <c r="C66" s="11">
        <v>1</v>
      </c>
      <c r="D66" s="11">
        <v>1</v>
      </c>
      <c r="E66" s="11">
        <v>0.98</v>
      </c>
      <c r="F66" s="11">
        <v>0.99099999999999999</v>
      </c>
      <c r="G66" s="11">
        <v>0.998</v>
      </c>
      <c r="H66" s="11">
        <v>0.02</v>
      </c>
      <c r="I66" s="11">
        <v>-2E-3</v>
      </c>
      <c r="J66" s="9" t="s">
        <v>22</v>
      </c>
    </row>
    <row r="67" spans="1:10" ht="12" customHeight="1" x14ac:dyDescent="0.25">
      <c r="A67" s="9" t="s">
        <v>41</v>
      </c>
      <c r="B67" s="9" t="s">
        <v>118</v>
      </c>
      <c r="C67" s="11">
        <v>0.189</v>
      </c>
      <c r="D67" s="11">
        <v>0.19700000000000001</v>
      </c>
      <c r="E67" s="11">
        <v>0.25900000000000001</v>
      </c>
      <c r="F67" s="11">
        <v>0.217</v>
      </c>
      <c r="G67" s="11">
        <v>0.20399999999999999</v>
      </c>
      <c r="H67" s="11">
        <v>6.9000000000000006E-2</v>
      </c>
      <c r="I67" s="11">
        <v>1.4E-2</v>
      </c>
      <c r="J67" s="9" t="s">
        <v>22</v>
      </c>
    </row>
    <row r="68" spans="1:10" ht="12" customHeight="1" x14ac:dyDescent="0.25">
      <c r="A68" s="9" t="s">
        <v>41</v>
      </c>
      <c r="B68" s="9" t="s">
        <v>119</v>
      </c>
      <c r="C68" s="11">
        <v>0.97099999999999997</v>
      </c>
      <c r="D68" s="11">
        <v>0.995</v>
      </c>
      <c r="E68" s="11">
        <v>0.997</v>
      </c>
      <c r="F68" s="11">
        <v>0.999</v>
      </c>
      <c r="G68" s="11">
        <v>1</v>
      </c>
      <c r="H68" s="11">
        <v>2.9000000000000001E-2</v>
      </c>
      <c r="I68" s="11">
        <v>2.9000000000000001E-2</v>
      </c>
      <c r="J68" s="9" t="s">
        <v>22</v>
      </c>
    </row>
    <row r="69" spans="1:10" ht="12" customHeight="1" x14ac:dyDescent="0.25">
      <c r="A69" s="9" t="s">
        <v>41</v>
      </c>
      <c r="B69" s="9" t="s">
        <v>76</v>
      </c>
      <c r="C69" s="11">
        <v>1</v>
      </c>
      <c r="D69" s="11">
        <v>1</v>
      </c>
      <c r="E69" s="11">
        <v>0.79600000000000004</v>
      </c>
      <c r="F69" s="11">
        <v>0.434</v>
      </c>
      <c r="G69" s="11">
        <v>2.5999999999999999E-2</v>
      </c>
      <c r="H69" s="11">
        <v>0.97399999999999998</v>
      </c>
      <c r="I69" s="11">
        <v>-0.97399999999999998</v>
      </c>
      <c r="J69" s="9" t="s">
        <v>27</v>
      </c>
    </row>
    <row r="70" spans="1:10" ht="12" customHeight="1" x14ac:dyDescent="0.25">
      <c r="A70" s="9" t="s">
        <v>41</v>
      </c>
      <c r="B70" s="9" t="s">
        <v>120</v>
      </c>
      <c r="C70" s="11">
        <v>1</v>
      </c>
      <c r="D70" s="11">
        <v>0.8</v>
      </c>
      <c r="E70" s="11">
        <v>0.67600000000000005</v>
      </c>
      <c r="F70" s="11">
        <v>0.65800000000000003</v>
      </c>
      <c r="G70" s="11">
        <v>0.78600000000000003</v>
      </c>
      <c r="H70" s="11">
        <v>0.34200000000000003</v>
      </c>
      <c r="I70" s="11">
        <v>-0.214</v>
      </c>
      <c r="J70" s="9" t="s">
        <v>22</v>
      </c>
    </row>
    <row r="71" spans="1:10" ht="12" customHeight="1" x14ac:dyDescent="0.25">
      <c r="A71" s="9" t="s">
        <v>41</v>
      </c>
      <c r="B71" s="9" t="s">
        <v>121</v>
      </c>
      <c r="C71" s="11">
        <v>1</v>
      </c>
      <c r="D71" s="11">
        <v>1</v>
      </c>
      <c r="E71" s="11">
        <v>1</v>
      </c>
      <c r="F71" s="11">
        <v>1</v>
      </c>
      <c r="G71" s="11">
        <v>1</v>
      </c>
      <c r="H71" s="11">
        <v>0</v>
      </c>
      <c r="I71" s="11">
        <v>0</v>
      </c>
      <c r="J71" s="9" t="s">
        <v>22</v>
      </c>
    </row>
    <row r="72" spans="1:10" ht="12" customHeight="1" x14ac:dyDescent="0.25">
      <c r="A72" s="9" t="s">
        <v>41</v>
      </c>
      <c r="B72" s="9" t="s">
        <v>122</v>
      </c>
      <c r="C72" s="11">
        <v>0</v>
      </c>
      <c r="D72" s="11">
        <v>1.4999999999999999E-2</v>
      </c>
      <c r="E72" s="11">
        <v>7.0000000000000001E-3</v>
      </c>
      <c r="F72" s="11">
        <v>4.0000000000000001E-3</v>
      </c>
      <c r="G72" s="11">
        <v>1E-3</v>
      </c>
      <c r="H72" s="11">
        <v>1.4999999999999999E-2</v>
      </c>
      <c r="I72" s="11">
        <v>1E-3</v>
      </c>
      <c r="J72" s="9" t="s">
        <v>22</v>
      </c>
    </row>
    <row r="73" spans="1:10" ht="12" customHeight="1" x14ac:dyDescent="0.25">
      <c r="A73" s="9" t="s">
        <v>41</v>
      </c>
      <c r="B73" s="9" t="s">
        <v>123</v>
      </c>
      <c r="C73" s="11">
        <v>1</v>
      </c>
      <c r="D73" s="11">
        <v>1</v>
      </c>
      <c r="E73" s="11">
        <v>1</v>
      </c>
      <c r="F73" s="11">
        <v>1</v>
      </c>
      <c r="G73" s="11">
        <v>1</v>
      </c>
      <c r="H73" s="11">
        <v>0</v>
      </c>
      <c r="I73" s="11">
        <v>0</v>
      </c>
      <c r="J73" s="9" t="s">
        <v>22</v>
      </c>
    </row>
    <row r="74" spans="1:10" ht="12" customHeight="1" x14ac:dyDescent="0.25">
      <c r="A74" s="9" t="s">
        <v>41</v>
      </c>
      <c r="B74" s="9" t="s">
        <v>124</v>
      </c>
      <c r="C74" s="11">
        <v>1</v>
      </c>
      <c r="D74" s="11">
        <v>1</v>
      </c>
      <c r="E74" s="11">
        <v>1</v>
      </c>
      <c r="F74" s="11">
        <v>0.998</v>
      </c>
      <c r="G74" s="11">
        <v>0.86099999999999999</v>
      </c>
      <c r="H74" s="11">
        <v>0.13900000000000001</v>
      </c>
      <c r="I74" s="11">
        <v>-0.13900000000000001</v>
      </c>
      <c r="J74" s="9" t="s">
        <v>22</v>
      </c>
    </row>
    <row r="75" spans="1:10" ht="12" customHeight="1" x14ac:dyDescent="0.25">
      <c r="A75" s="9" t="s">
        <v>41</v>
      </c>
      <c r="B75" s="9" t="s">
        <v>125</v>
      </c>
      <c r="C75" s="11">
        <v>1</v>
      </c>
      <c r="D75" s="11">
        <v>0.60899999999999999</v>
      </c>
      <c r="E75" s="11">
        <v>0.43099999999999999</v>
      </c>
      <c r="F75" s="11">
        <v>0.33900000000000002</v>
      </c>
      <c r="G75" s="11">
        <v>0.26500000000000001</v>
      </c>
      <c r="H75" s="11">
        <v>0.73499999999999999</v>
      </c>
      <c r="I75" s="11">
        <v>-0.73499999999999999</v>
      </c>
      <c r="J75" s="9" t="s">
        <v>27</v>
      </c>
    </row>
    <row r="76" spans="1:10" ht="12" customHeight="1" x14ac:dyDescent="0.25">
      <c r="A76" s="9" t="s">
        <v>41</v>
      </c>
      <c r="B76" s="9" t="s">
        <v>126</v>
      </c>
      <c r="C76" s="11">
        <v>0</v>
      </c>
      <c r="D76" s="11">
        <v>1.4999999999999999E-2</v>
      </c>
      <c r="E76" s="11">
        <v>7.0000000000000001E-3</v>
      </c>
      <c r="F76" s="11">
        <v>3.0000000000000001E-3</v>
      </c>
      <c r="G76" s="11">
        <v>1E-3</v>
      </c>
      <c r="H76" s="11">
        <v>1.4999999999999999E-2</v>
      </c>
      <c r="I76" s="11">
        <v>1E-3</v>
      </c>
      <c r="J76" s="9" t="s">
        <v>22</v>
      </c>
    </row>
    <row r="77" spans="1:10" ht="12" customHeight="1" x14ac:dyDescent="0.25">
      <c r="A77" s="9" t="s">
        <v>41</v>
      </c>
      <c r="B77" s="9" t="s">
        <v>127</v>
      </c>
      <c r="C77" s="11">
        <v>0.999</v>
      </c>
      <c r="D77" s="11">
        <v>1</v>
      </c>
      <c r="E77" s="11">
        <v>1</v>
      </c>
      <c r="F77" s="11">
        <v>1</v>
      </c>
      <c r="G77" s="11">
        <v>1</v>
      </c>
      <c r="H77" s="11">
        <v>1E-3</v>
      </c>
      <c r="I77" s="11">
        <v>1E-3</v>
      </c>
      <c r="J77" s="9" t="s">
        <v>22</v>
      </c>
    </row>
    <row r="78" spans="1:10" ht="12" customHeight="1" x14ac:dyDescent="0.25">
      <c r="A78" s="9" t="s">
        <v>41</v>
      </c>
      <c r="B78" s="9" t="s">
        <v>72</v>
      </c>
      <c r="C78" s="11">
        <v>1</v>
      </c>
      <c r="D78" s="11">
        <v>0.95199999999999996</v>
      </c>
      <c r="E78" s="11">
        <v>0.54700000000000004</v>
      </c>
      <c r="F78" s="11">
        <v>0.14799999999999999</v>
      </c>
      <c r="G78" s="11">
        <v>1E-3</v>
      </c>
      <c r="H78" s="11">
        <v>0.999</v>
      </c>
      <c r="I78" s="11">
        <v>-0.999</v>
      </c>
      <c r="J78" s="9" t="s">
        <v>27</v>
      </c>
    </row>
    <row r="79" spans="1:10" ht="12" customHeight="1" x14ac:dyDescent="0.25">
      <c r="A79" s="9" t="s">
        <v>41</v>
      </c>
      <c r="B79" s="9" t="s">
        <v>128</v>
      </c>
      <c r="C79" s="11">
        <v>1</v>
      </c>
      <c r="D79" s="11">
        <v>1</v>
      </c>
      <c r="E79" s="11">
        <v>0.95199999999999996</v>
      </c>
      <c r="F79" s="11">
        <v>0.97799999999999998</v>
      </c>
      <c r="G79" s="11">
        <v>0.99299999999999999</v>
      </c>
      <c r="H79" s="11">
        <v>4.8000000000000001E-2</v>
      </c>
      <c r="I79" s="11">
        <v>-7.0000000000000001E-3</v>
      </c>
      <c r="J79" s="9" t="s">
        <v>22</v>
      </c>
    </row>
    <row r="80" spans="1:10" ht="12" customHeight="1" x14ac:dyDescent="0.25">
      <c r="A80" s="9" t="s">
        <v>41</v>
      </c>
      <c r="B80" s="9" t="s">
        <v>129</v>
      </c>
      <c r="C80" s="11">
        <v>0.98399999999999999</v>
      </c>
      <c r="D80" s="11">
        <v>0.996</v>
      </c>
      <c r="E80" s="11">
        <v>0.999</v>
      </c>
      <c r="F80" s="11">
        <v>1</v>
      </c>
      <c r="G80" s="11">
        <v>1</v>
      </c>
      <c r="H80" s="11">
        <v>1.6E-2</v>
      </c>
      <c r="I80" s="11">
        <v>1.6E-2</v>
      </c>
      <c r="J80" s="9" t="s">
        <v>22</v>
      </c>
    </row>
    <row r="81" spans="1:10" ht="12" customHeight="1" x14ac:dyDescent="0.25">
      <c r="A81" s="9" t="s">
        <v>41</v>
      </c>
      <c r="B81" s="9" t="s">
        <v>130</v>
      </c>
      <c r="C81" s="11">
        <v>1</v>
      </c>
      <c r="D81" s="11">
        <v>1</v>
      </c>
      <c r="E81" s="11">
        <v>1</v>
      </c>
      <c r="F81" s="11">
        <v>0.98199999999999998</v>
      </c>
      <c r="G81" s="11">
        <v>0.34100000000000003</v>
      </c>
      <c r="H81" s="11">
        <v>0.65900000000000003</v>
      </c>
      <c r="I81" s="11">
        <v>-0.65900000000000003</v>
      </c>
      <c r="J81" s="9" t="s">
        <v>27</v>
      </c>
    </row>
    <row r="82" spans="1:10" ht="12" customHeight="1" x14ac:dyDescent="0.25">
      <c r="A82" s="9" t="s">
        <v>41</v>
      </c>
      <c r="B82" s="9" t="s">
        <v>131</v>
      </c>
      <c r="C82" s="11">
        <v>1</v>
      </c>
      <c r="D82" s="11">
        <v>1</v>
      </c>
      <c r="E82" s="11">
        <v>0.99</v>
      </c>
      <c r="F82" s="11">
        <v>0.996</v>
      </c>
      <c r="G82" s="11">
        <v>1</v>
      </c>
      <c r="H82" s="11">
        <v>0.01</v>
      </c>
      <c r="I82" s="11">
        <v>0</v>
      </c>
      <c r="J82" s="9" t="s">
        <v>22</v>
      </c>
    </row>
    <row r="83" spans="1:10" ht="12" customHeight="1" x14ac:dyDescent="0.25">
      <c r="A83" s="9" t="s">
        <v>41</v>
      </c>
      <c r="B83" s="9" t="s">
        <v>132</v>
      </c>
      <c r="C83" s="11">
        <v>0.189</v>
      </c>
      <c r="D83" s="11">
        <v>0.11600000000000001</v>
      </c>
      <c r="E83" s="11">
        <v>1.7000000000000001E-2</v>
      </c>
      <c r="F83" s="11">
        <v>1E-3</v>
      </c>
      <c r="G83" s="11">
        <v>0</v>
      </c>
      <c r="H83" s="11">
        <v>0.189</v>
      </c>
      <c r="I83" s="11">
        <v>-0.189</v>
      </c>
      <c r="J83" s="9" t="s">
        <v>22</v>
      </c>
    </row>
    <row r="84" spans="1:10" ht="12" customHeight="1" x14ac:dyDescent="0.25">
      <c r="A84" s="9" t="s">
        <v>41</v>
      </c>
      <c r="B84" s="9" t="s">
        <v>133</v>
      </c>
      <c r="C84" s="11">
        <v>0.191</v>
      </c>
      <c r="D84" s="11">
        <v>0.105</v>
      </c>
      <c r="E84" s="11">
        <v>4.7E-2</v>
      </c>
      <c r="F84" s="11">
        <v>1.7999999999999999E-2</v>
      </c>
      <c r="G84" s="11">
        <v>4.0000000000000001E-3</v>
      </c>
      <c r="H84" s="11">
        <v>0.187</v>
      </c>
      <c r="I84" s="11">
        <v>-0.187</v>
      </c>
      <c r="J84" s="9" t="s">
        <v>22</v>
      </c>
    </row>
    <row r="85" spans="1:10" ht="12" customHeight="1" x14ac:dyDescent="0.25">
      <c r="A85" s="9" t="s">
        <v>41</v>
      </c>
      <c r="B85" s="9" t="s">
        <v>134</v>
      </c>
      <c r="C85" s="11">
        <v>0</v>
      </c>
      <c r="D85" s="11">
        <v>6.8000000000000005E-2</v>
      </c>
      <c r="E85" s="11">
        <v>0.08</v>
      </c>
      <c r="F85" s="11">
        <v>0.13</v>
      </c>
      <c r="G85" s="11">
        <v>0.61799999999999999</v>
      </c>
      <c r="H85" s="11">
        <v>0.61799999999999999</v>
      </c>
      <c r="I85" s="11">
        <v>0.61799999999999999</v>
      </c>
      <c r="J85" s="9" t="s">
        <v>27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8"/>
  <sheetViews>
    <sheetView workbookViewId="0">
      <selection activeCell="E4" sqref="E4"/>
    </sheetView>
  </sheetViews>
  <sheetFormatPr defaultRowHeight="13.2" x14ac:dyDescent="0.25"/>
  <cols>
    <col min="1" max="1" width="7.5546875" customWidth="1"/>
    <col min="2" max="2" width="15" customWidth="1"/>
    <col min="3" max="3" width="17.88671875" customWidth="1"/>
    <col min="4" max="4" width="13.5546875" customWidth="1"/>
    <col min="5" max="9" width="11.88671875" customWidth="1"/>
    <col min="10" max="10" width="13" customWidth="1"/>
    <col min="11" max="11" width="12.44140625" customWidth="1"/>
    <col min="12" max="12" width="11.33203125" customWidth="1"/>
    <col min="13" max="13" width="9.33203125" customWidth="1"/>
    <col min="14" max="14" width="12.44140625" customWidth="1"/>
    <col min="15" max="15" width="12.109375" customWidth="1"/>
    <col min="16" max="16" width="14.6640625" customWidth="1"/>
    <col min="17" max="17" width="50.6640625" customWidth="1"/>
  </cols>
  <sheetData>
    <row r="1" spans="1:17" ht="12" customHeight="1" x14ac:dyDescent="0.25">
      <c r="A1" s="15" t="s">
        <v>236</v>
      </c>
      <c r="B1" s="15" t="s">
        <v>93</v>
      </c>
      <c r="C1" s="15" t="s">
        <v>237</v>
      </c>
      <c r="D1" s="15" t="s">
        <v>99</v>
      </c>
      <c r="E1" s="15" t="s">
        <v>94</v>
      </c>
      <c r="F1" s="15" t="s">
        <v>95</v>
      </c>
      <c r="G1" s="15" t="s">
        <v>96</v>
      </c>
      <c r="H1" s="15" t="s">
        <v>97</v>
      </c>
      <c r="I1" s="15" t="s">
        <v>98</v>
      </c>
      <c r="J1" s="15" t="s">
        <v>100</v>
      </c>
      <c r="K1" s="15" t="s">
        <v>101</v>
      </c>
      <c r="L1" s="15" t="s">
        <v>238</v>
      </c>
      <c r="M1" s="15" t="s">
        <v>239</v>
      </c>
      <c r="N1" s="15" t="s">
        <v>240</v>
      </c>
      <c r="O1" s="15" t="s">
        <v>105</v>
      </c>
      <c r="P1" s="15" t="s">
        <v>106</v>
      </c>
      <c r="Q1" s="15" t="s">
        <v>241</v>
      </c>
    </row>
    <row r="2" spans="1:17" ht="12" customHeight="1" x14ac:dyDescent="0.25">
      <c r="A2" s="13">
        <v>1</v>
      </c>
      <c r="B2" s="12" t="s">
        <v>7</v>
      </c>
      <c r="C2" s="12" t="s">
        <v>242</v>
      </c>
      <c r="D2" s="19">
        <v>0.93899999999999995</v>
      </c>
      <c r="E2" s="19">
        <v>0.96599999999999997</v>
      </c>
      <c r="F2" s="19">
        <v>0.96099999999999997</v>
      </c>
      <c r="G2" s="19">
        <v>0.95299999999999996</v>
      </c>
      <c r="H2" s="19">
        <v>0.95899999999999996</v>
      </c>
      <c r="I2" s="19">
        <v>0.85599999999999998</v>
      </c>
      <c r="J2" s="19">
        <v>-0.11</v>
      </c>
      <c r="K2" s="19">
        <v>0.13600000000000001</v>
      </c>
      <c r="L2" s="13">
        <v>29</v>
      </c>
      <c r="M2" s="13">
        <v>0</v>
      </c>
      <c r="N2" s="13">
        <v>1</v>
      </c>
      <c r="O2" s="13">
        <v>24</v>
      </c>
      <c r="P2" s="13">
        <v>0</v>
      </c>
      <c r="Q2" s="12" t="s">
        <v>243</v>
      </c>
    </row>
    <row r="3" spans="1:17" ht="12" customHeight="1" x14ac:dyDescent="0.25">
      <c r="A3" s="13">
        <v>2</v>
      </c>
      <c r="B3" s="12" t="s">
        <v>9</v>
      </c>
      <c r="C3" s="12" t="s">
        <v>242</v>
      </c>
      <c r="D3" s="19">
        <v>0.77100000000000002</v>
      </c>
      <c r="E3" s="19">
        <v>0.86</v>
      </c>
      <c r="F3" s="19">
        <v>0.83199999999999996</v>
      </c>
      <c r="G3" s="19">
        <v>0.78100000000000003</v>
      </c>
      <c r="H3" s="19">
        <v>0.71499999999999997</v>
      </c>
      <c r="I3" s="19">
        <v>0.66900000000000004</v>
      </c>
      <c r="J3" s="19">
        <v>-0.191</v>
      </c>
      <c r="K3" s="19">
        <v>0.32400000000000001</v>
      </c>
      <c r="L3" s="13">
        <v>23</v>
      </c>
      <c r="M3" s="13">
        <v>0</v>
      </c>
      <c r="N3" s="13">
        <v>7</v>
      </c>
      <c r="O3" s="13">
        <v>18</v>
      </c>
      <c r="P3" s="13">
        <v>1</v>
      </c>
      <c r="Q3" s="12" t="s">
        <v>244</v>
      </c>
    </row>
    <row r="4" spans="1:17" ht="12" customHeight="1" x14ac:dyDescent="0.25">
      <c r="A4" s="13">
        <v>3</v>
      </c>
      <c r="B4" s="12" t="s">
        <v>2</v>
      </c>
      <c r="C4" s="12" t="s">
        <v>245</v>
      </c>
      <c r="D4" s="19">
        <v>0.58499999999999996</v>
      </c>
      <c r="E4" s="19">
        <v>0.66700000000000004</v>
      </c>
      <c r="F4" s="19">
        <v>0.60399999999999998</v>
      </c>
      <c r="G4" s="19">
        <v>0.57599999999999996</v>
      </c>
      <c r="H4" s="19">
        <v>0.55800000000000005</v>
      </c>
      <c r="I4" s="19">
        <v>0.52100000000000002</v>
      </c>
      <c r="J4" s="19">
        <v>-0.14499999999999999</v>
      </c>
      <c r="K4" s="19">
        <v>0.45500000000000002</v>
      </c>
      <c r="L4" s="13">
        <v>17</v>
      </c>
      <c r="M4" s="13">
        <v>0</v>
      </c>
      <c r="N4" s="13">
        <v>13</v>
      </c>
      <c r="O4" s="13">
        <v>15</v>
      </c>
      <c r="P4" s="13">
        <v>10</v>
      </c>
      <c r="Q4" s="12" t="s">
        <v>246</v>
      </c>
    </row>
    <row r="5" spans="1:17" ht="12" customHeight="1" x14ac:dyDescent="0.25">
      <c r="A5" s="13">
        <v>4</v>
      </c>
      <c r="B5" s="12" t="s">
        <v>3</v>
      </c>
      <c r="C5" s="12" t="s">
        <v>245</v>
      </c>
      <c r="D5" s="19">
        <v>0.42099999999999999</v>
      </c>
      <c r="E5" s="19">
        <v>0.5</v>
      </c>
      <c r="F5" s="19">
        <v>0.495</v>
      </c>
      <c r="G5" s="19">
        <v>0.42099999999999999</v>
      </c>
      <c r="H5" s="19">
        <v>0.35599999999999998</v>
      </c>
      <c r="I5" s="19">
        <v>0.33300000000000002</v>
      </c>
      <c r="J5" s="19">
        <v>-0.16700000000000001</v>
      </c>
      <c r="K5" s="19">
        <v>0.47499999999999998</v>
      </c>
      <c r="L5" s="13">
        <v>12</v>
      </c>
      <c r="M5" s="13">
        <v>1</v>
      </c>
      <c r="N5" s="13">
        <v>17</v>
      </c>
      <c r="O5" s="13">
        <v>12</v>
      </c>
      <c r="P5" s="13">
        <v>16</v>
      </c>
      <c r="Q5" s="12" t="s">
        <v>247</v>
      </c>
    </row>
    <row r="6" spans="1:17" ht="12" customHeight="1" x14ac:dyDescent="0.25">
      <c r="A6" s="13">
        <v>5</v>
      </c>
      <c r="B6" s="12" t="s">
        <v>6</v>
      </c>
      <c r="C6" s="12" t="s">
        <v>245</v>
      </c>
      <c r="D6" s="19">
        <v>0.40899999999999997</v>
      </c>
      <c r="E6" s="19">
        <v>0.30199999999999999</v>
      </c>
      <c r="F6" s="19">
        <v>0.40300000000000002</v>
      </c>
      <c r="G6" s="19">
        <v>0.47099999999999997</v>
      </c>
      <c r="H6" s="19">
        <v>0.48</v>
      </c>
      <c r="I6" s="19">
        <v>0.38900000000000001</v>
      </c>
      <c r="J6" s="19">
        <v>8.6999999999999994E-2</v>
      </c>
      <c r="K6" s="19">
        <v>0.39500000000000002</v>
      </c>
      <c r="L6" s="13">
        <v>12</v>
      </c>
      <c r="M6" s="13">
        <v>0</v>
      </c>
      <c r="N6" s="13">
        <v>18</v>
      </c>
      <c r="O6" s="13">
        <v>6</v>
      </c>
      <c r="P6" s="13">
        <v>12</v>
      </c>
      <c r="Q6" s="12" t="s">
        <v>248</v>
      </c>
    </row>
    <row r="7" spans="1:17" ht="12" customHeight="1" x14ac:dyDescent="0.25">
      <c r="A7" s="13">
        <v>6</v>
      </c>
      <c r="B7" s="12" t="s">
        <v>5</v>
      </c>
      <c r="C7" s="12" t="s">
        <v>249</v>
      </c>
      <c r="D7" s="19">
        <v>0.35</v>
      </c>
      <c r="E7" s="19">
        <v>0.13500000000000001</v>
      </c>
      <c r="F7" s="19">
        <v>0.16700000000000001</v>
      </c>
      <c r="G7" s="19">
        <v>0.28699999999999998</v>
      </c>
      <c r="H7" s="19">
        <v>0.42799999999999999</v>
      </c>
      <c r="I7" s="19">
        <v>0.73199999999999998</v>
      </c>
      <c r="J7" s="19">
        <v>0.59599999999999997</v>
      </c>
      <c r="K7" s="19">
        <v>0.40200000000000002</v>
      </c>
      <c r="L7" s="13">
        <v>11</v>
      </c>
      <c r="M7" s="13">
        <v>1</v>
      </c>
      <c r="N7" s="13">
        <v>18</v>
      </c>
      <c r="O7" s="13">
        <v>5</v>
      </c>
      <c r="P7" s="13">
        <v>15</v>
      </c>
      <c r="Q7" s="12" t="s">
        <v>250</v>
      </c>
    </row>
    <row r="8" spans="1:17" ht="12" customHeight="1" x14ac:dyDescent="0.25">
      <c r="A8" s="13">
        <v>7</v>
      </c>
      <c r="B8" s="12" t="s">
        <v>8</v>
      </c>
      <c r="C8" s="12" t="s">
        <v>251</v>
      </c>
      <c r="D8" s="19">
        <v>2.5000000000000001E-2</v>
      </c>
      <c r="E8" s="19">
        <v>7.0999999999999994E-2</v>
      </c>
      <c r="F8" s="19">
        <v>3.7999999999999999E-2</v>
      </c>
      <c r="G8" s="19">
        <v>1.0999999999999999E-2</v>
      </c>
      <c r="H8" s="19">
        <v>3.0000000000000001E-3</v>
      </c>
      <c r="I8" s="19">
        <v>1E-3</v>
      </c>
      <c r="J8" s="19">
        <v>-7.0000000000000007E-2</v>
      </c>
      <c r="K8" s="19">
        <v>5.1999999999999998E-2</v>
      </c>
      <c r="L8" s="13">
        <v>0</v>
      </c>
      <c r="M8" s="13">
        <v>0</v>
      </c>
      <c r="N8" s="13">
        <v>30</v>
      </c>
      <c r="O8" s="13">
        <v>0</v>
      </c>
      <c r="P8" s="13">
        <v>26</v>
      </c>
      <c r="Q8" s="12" t="s">
        <v>252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22"/>
  <sheetViews>
    <sheetView workbookViewId="0">
      <selection activeCell="G12" sqref="G12"/>
    </sheetView>
  </sheetViews>
  <sheetFormatPr defaultRowHeight="13.2" x14ac:dyDescent="0.25"/>
  <cols>
    <col min="1" max="1" width="7.5546875" customWidth="1"/>
    <col min="2" max="2" width="23.5546875" customWidth="1"/>
    <col min="3" max="7" width="13.5546875" customWidth="1"/>
    <col min="8" max="8" width="12.109375" customWidth="1"/>
    <col min="9" max="9" width="14.44140625" customWidth="1"/>
    <col min="10" max="10" width="15.88671875" customWidth="1"/>
    <col min="11" max="11" width="59.33203125" customWidth="1"/>
  </cols>
  <sheetData>
    <row r="1" spans="1:11" ht="12" customHeight="1" x14ac:dyDescent="0.25">
      <c r="A1" s="15" t="s">
        <v>236</v>
      </c>
      <c r="B1" s="15" t="s">
        <v>107</v>
      </c>
      <c r="C1" s="15" t="s">
        <v>108</v>
      </c>
      <c r="D1" s="15" t="s">
        <v>109</v>
      </c>
      <c r="E1" s="15" t="s">
        <v>110</v>
      </c>
      <c r="F1" s="15" t="s">
        <v>111</v>
      </c>
      <c r="G1" s="15" t="s">
        <v>112</v>
      </c>
      <c r="H1" s="15" t="s">
        <v>113</v>
      </c>
      <c r="I1" s="15" t="s">
        <v>114</v>
      </c>
      <c r="J1" s="15" t="s">
        <v>115</v>
      </c>
      <c r="K1" s="15" t="s">
        <v>47</v>
      </c>
    </row>
    <row r="2" spans="1:11" ht="12" customHeight="1" x14ac:dyDescent="0.25">
      <c r="A2" s="23">
        <v>1</v>
      </c>
      <c r="B2" s="12" t="s">
        <v>72</v>
      </c>
      <c r="C2" s="24">
        <v>1</v>
      </c>
      <c r="D2" s="24">
        <v>0.95199999999999996</v>
      </c>
      <c r="E2" s="24">
        <v>0.54700000000000004</v>
      </c>
      <c r="F2" s="24">
        <v>0.14799999999999999</v>
      </c>
      <c r="G2" s="24">
        <v>1E-3</v>
      </c>
      <c r="H2" s="24">
        <v>0.999</v>
      </c>
      <c r="I2" s="24">
        <v>-0.999</v>
      </c>
      <c r="J2" s="21" t="s">
        <v>27</v>
      </c>
      <c r="K2" s="12" t="s">
        <v>74</v>
      </c>
    </row>
    <row r="3" spans="1:11" ht="12" customHeight="1" x14ac:dyDescent="0.25">
      <c r="A3" s="23">
        <v>2</v>
      </c>
      <c r="B3" s="12" t="s">
        <v>76</v>
      </c>
      <c r="C3" s="24">
        <v>1</v>
      </c>
      <c r="D3" s="24">
        <v>1</v>
      </c>
      <c r="E3" s="24">
        <v>0.79600000000000004</v>
      </c>
      <c r="F3" s="24">
        <v>0.434</v>
      </c>
      <c r="G3" s="24">
        <v>2.5999999999999999E-2</v>
      </c>
      <c r="H3" s="24">
        <v>0.97399999999999998</v>
      </c>
      <c r="I3" s="24">
        <v>-0.97399999999999998</v>
      </c>
      <c r="J3" s="21" t="s">
        <v>27</v>
      </c>
      <c r="K3" s="12" t="s">
        <v>78</v>
      </c>
    </row>
    <row r="4" spans="1:11" ht="12" customHeight="1" x14ac:dyDescent="0.25">
      <c r="A4" s="23">
        <v>3</v>
      </c>
      <c r="B4" s="12" t="s">
        <v>125</v>
      </c>
      <c r="C4" s="24">
        <v>1</v>
      </c>
      <c r="D4" s="24">
        <v>0.60899999999999999</v>
      </c>
      <c r="E4" s="24">
        <v>0.43099999999999999</v>
      </c>
      <c r="F4" s="24">
        <v>0.33900000000000002</v>
      </c>
      <c r="G4" s="24">
        <v>0.26500000000000001</v>
      </c>
      <c r="H4" s="24">
        <v>0.73499999999999999</v>
      </c>
      <c r="I4" s="24">
        <v>-0.73499999999999999</v>
      </c>
      <c r="J4" s="21" t="s">
        <v>27</v>
      </c>
      <c r="K4" s="12" t="s">
        <v>253</v>
      </c>
    </row>
    <row r="5" spans="1:11" ht="12" customHeight="1" x14ac:dyDescent="0.25">
      <c r="A5" s="23">
        <v>4</v>
      </c>
      <c r="B5" s="12" t="s">
        <v>130</v>
      </c>
      <c r="C5" s="24">
        <v>1</v>
      </c>
      <c r="D5" s="24">
        <v>1</v>
      </c>
      <c r="E5" s="24">
        <v>1</v>
      </c>
      <c r="F5" s="24">
        <v>0.98199999999999998</v>
      </c>
      <c r="G5" s="24">
        <v>0.34100000000000003</v>
      </c>
      <c r="H5" s="24">
        <v>0.65900000000000003</v>
      </c>
      <c r="I5" s="24">
        <v>-0.65900000000000003</v>
      </c>
      <c r="J5" s="21" t="s">
        <v>27</v>
      </c>
      <c r="K5" s="12" t="s">
        <v>254</v>
      </c>
    </row>
    <row r="6" spans="1:11" ht="12" customHeight="1" x14ac:dyDescent="0.25">
      <c r="A6" s="23">
        <v>5</v>
      </c>
      <c r="B6" s="12" t="s">
        <v>134</v>
      </c>
      <c r="C6" s="24">
        <v>0</v>
      </c>
      <c r="D6" s="24">
        <v>6.8000000000000005E-2</v>
      </c>
      <c r="E6" s="24">
        <v>0.08</v>
      </c>
      <c r="F6" s="24">
        <v>0.13</v>
      </c>
      <c r="G6" s="24">
        <v>0.61799999999999999</v>
      </c>
      <c r="H6" s="24">
        <v>0.61799999999999999</v>
      </c>
      <c r="I6" s="24">
        <v>0.61799999999999999</v>
      </c>
      <c r="J6" s="21" t="s">
        <v>27</v>
      </c>
      <c r="K6" s="12" t="s">
        <v>255</v>
      </c>
    </row>
    <row r="7" spans="1:11" ht="12" customHeight="1" x14ac:dyDescent="0.25">
      <c r="A7" s="23">
        <v>6</v>
      </c>
      <c r="B7" s="12" t="s">
        <v>120</v>
      </c>
      <c r="C7" s="24">
        <v>1</v>
      </c>
      <c r="D7" s="24">
        <v>0.8</v>
      </c>
      <c r="E7" s="24">
        <v>0.67600000000000005</v>
      </c>
      <c r="F7" s="24">
        <v>0.65800000000000003</v>
      </c>
      <c r="G7" s="24">
        <v>0.78600000000000003</v>
      </c>
      <c r="H7" s="24">
        <v>0.34200000000000003</v>
      </c>
      <c r="I7" s="24">
        <v>-0.214</v>
      </c>
      <c r="J7" s="21" t="s">
        <v>22</v>
      </c>
      <c r="K7" s="12" t="s">
        <v>256</v>
      </c>
    </row>
    <row r="8" spans="1:11" ht="12" customHeight="1" x14ac:dyDescent="0.25">
      <c r="A8" s="23">
        <v>7</v>
      </c>
      <c r="B8" s="12" t="s">
        <v>132</v>
      </c>
      <c r="C8" s="24">
        <v>0.189</v>
      </c>
      <c r="D8" s="24">
        <v>0.11600000000000001</v>
      </c>
      <c r="E8" s="24">
        <v>1.7000000000000001E-2</v>
      </c>
      <c r="F8" s="24">
        <v>1E-3</v>
      </c>
      <c r="G8" s="24">
        <v>0</v>
      </c>
      <c r="H8" s="24">
        <v>0.189</v>
      </c>
      <c r="I8" s="24">
        <v>-0.189</v>
      </c>
      <c r="J8" s="21" t="s">
        <v>22</v>
      </c>
      <c r="K8" s="12" t="s">
        <v>257</v>
      </c>
    </row>
    <row r="9" spans="1:11" ht="12" customHeight="1" x14ac:dyDescent="0.25">
      <c r="A9" s="23">
        <v>8</v>
      </c>
      <c r="B9" s="12" t="s">
        <v>133</v>
      </c>
      <c r="C9" s="24">
        <v>0.191</v>
      </c>
      <c r="D9" s="24">
        <v>0.105</v>
      </c>
      <c r="E9" s="24">
        <v>4.7E-2</v>
      </c>
      <c r="F9" s="24">
        <v>1.7999999999999999E-2</v>
      </c>
      <c r="G9" s="24">
        <v>4.0000000000000001E-3</v>
      </c>
      <c r="H9" s="24">
        <v>0.187</v>
      </c>
      <c r="I9" s="24">
        <v>-0.187</v>
      </c>
      <c r="J9" s="21" t="s">
        <v>22</v>
      </c>
      <c r="K9" s="12" t="s">
        <v>258</v>
      </c>
    </row>
    <row r="10" spans="1:11" ht="12" customHeight="1" x14ac:dyDescent="0.25">
      <c r="A10" s="23">
        <v>9</v>
      </c>
      <c r="B10" s="12" t="s">
        <v>124</v>
      </c>
      <c r="C10" s="24">
        <v>1</v>
      </c>
      <c r="D10" s="24">
        <v>1</v>
      </c>
      <c r="E10" s="24">
        <v>1</v>
      </c>
      <c r="F10" s="24">
        <v>0.998</v>
      </c>
      <c r="G10" s="24">
        <v>0.86099999999999999</v>
      </c>
      <c r="H10" s="24">
        <v>0.13900000000000001</v>
      </c>
      <c r="I10" s="24">
        <v>-0.13900000000000001</v>
      </c>
      <c r="J10" s="21" t="s">
        <v>22</v>
      </c>
      <c r="K10" s="12" t="s">
        <v>259</v>
      </c>
    </row>
    <row r="11" spans="1:11" ht="12" customHeight="1" x14ac:dyDescent="0.25">
      <c r="A11" s="23">
        <v>10</v>
      </c>
      <c r="B11" s="12" t="s">
        <v>118</v>
      </c>
      <c r="C11" s="24">
        <v>0.189</v>
      </c>
      <c r="D11" s="24">
        <v>0.19700000000000001</v>
      </c>
      <c r="E11" s="24">
        <v>0.25900000000000001</v>
      </c>
      <c r="F11" s="24">
        <v>0.217</v>
      </c>
      <c r="G11" s="24">
        <v>0.20399999999999999</v>
      </c>
      <c r="H11" s="24">
        <v>6.9000000000000006E-2</v>
      </c>
      <c r="I11" s="24">
        <v>1.4E-2</v>
      </c>
      <c r="J11" s="21" t="s">
        <v>22</v>
      </c>
      <c r="K11" s="12" t="s">
        <v>260</v>
      </c>
    </row>
    <row r="12" spans="1:11" ht="12" customHeight="1" x14ac:dyDescent="0.25">
      <c r="A12" s="23">
        <v>11</v>
      </c>
      <c r="B12" s="12" t="s">
        <v>128</v>
      </c>
      <c r="C12" s="24">
        <v>1</v>
      </c>
      <c r="D12" s="24">
        <v>1</v>
      </c>
      <c r="E12" s="24">
        <v>0.95199999999999996</v>
      </c>
      <c r="F12" s="24">
        <v>0.97799999999999998</v>
      </c>
      <c r="G12" s="24">
        <v>0.99299999999999999</v>
      </c>
      <c r="H12" s="24">
        <v>4.8000000000000001E-2</v>
      </c>
      <c r="I12" s="24">
        <v>-7.0000000000000001E-3</v>
      </c>
      <c r="J12" s="21" t="s">
        <v>22</v>
      </c>
      <c r="K12" s="12" t="s">
        <v>261</v>
      </c>
    </row>
    <row r="13" spans="1:11" ht="12" customHeight="1" x14ac:dyDescent="0.25">
      <c r="A13" s="38">
        <v>12</v>
      </c>
      <c r="B13" s="9" t="s">
        <v>119</v>
      </c>
      <c r="C13" s="39">
        <v>0.97099999999999997</v>
      </c>
      <c r="D13" s="39">
        <v>0.995</v>
      </c>
      <c r="E13" s="39">
        <v>0.997</v>
      </c>
      <c r="F13" s="39">
        <v>0.999</v>
      </c>
      <c r="G13" s="39">
        <v>1</v>
      </c>
      <c r="H13" s="39">
        <v>2.9000000000000001E-2</v>
      </c>
      <c r="I13" s="39">
        <v>2.9000000000000001E-2</v>
      </c>
      <c r="J13" s="40" t="s">
        <v>22</v>
      </c>
      <c r="K13" s="9" t="s">
        <v>262</v>
      </c>
    </row>
    <row r="14" spans="1:11" ht="12" customHeight="1" x14ac:dyDescent="0.25">
      <c r="A14" s="38">
        <v>13</v>
      </c>
      <c r="B14" s="9" t="s">
        <v>116</v>
      </c>
      <c r="C14" s="39">
        <v>1</v>
      </c>
      <c r="D14" s="39">
        <v>1</v>
      </c>
      <c r="E14" s="39">
        <v>0.98</v>
      </c>
      <c r="F14" s="39">
        <v>0.99099999999999999</v>
      </c>
      <c r="G14" s="39">
        <v>0.998</v>
      </c>
      <c r="H14" s="39">
        <v>0.02</v>
      </c>
      <c r="I14" s="39">
        <v>-2E-3</v>
      </c>
      <c r="J14" s="40" t="s">
        <v>22</v>
      </c>
      <c r="K14" s="9" t="s">
        <v>263</v>
      </c>
    </row>
    <row r="15" spans="1:11" ht="12" customHeight="1" x14ac:dyDescent="0.25">
      <c r="A15" s="38">
        <v>14</v>
      </c>
      <c r="B15" s="9" t="s">
        <v>117</v>
      </c>
      <c r="C15" s="39">
        <v>1</v>
      </c>
      <c r="D15" s="39">
        <v>1</v>
      </c>
      <c r="E15" s="39">
        <v>0.98</v>
      </c>
      <c r="F15" s="39">
        <v>0.99099999999999999</v>
      </c>
      <c r="G15" s="39">
        <v>0.998</v>
      </c>
      <c r="H15" s="39">
        <v>0.02</v>
      </c>
      <c r="I15" s="39">
        <v>-2E-3</v>
      </c>
      <c r="J15" s="40" t="s">
        <v>22</v>
      </c>
      <c r="K15" s="9" t="s">
        <v>264</v>
      </c>
    </row>
    <row r="16" spans="1:11" ht="12" customHeight="1" x14ac:dyDescent="0.25">
      <c r="A16" s="38">
        <v>15</v>
      </c>
      <c r="B16" s="9" t="s">
        <v>129</v>
      </c>
      <c r="C16" s="39">
        <v>0.98399999999999999</v>
      </c>
      <c r="D16" s="39">
        <v>0.996</v>
      </c>
      <c r="E16" s="39">
        <v>0.999</v>
      </c>
      <c r="F16" s="39">
        <v>1</v>
      </c>
      <c r="G16" s="39">
        <v>1</v>
      </c>
      <c r="H16" s="39">
        <v>1.6E-2</v>
      </c>
      <c r="I16" s="39">
        <v>1.6E-2</v>
      </c>
      <c r="J16" s="40" t="s">
        <v>22</v>
      </c>
      <c r="K16" s="9" t="s">
        <v>265</v>
      </c>
    </row>
    <row r="17" spans="1:11" ht="12" customHeight="1" x14ac:dyDescent="0.25">
      <c r="A17" s="38">
        <v>16</v>
      </c>
      <c r="B17" s="9" t="s">
        <v>122</v>
      </c>
      <c r="C17" s="39">
        <v>0</v>
      </c>
      <c r="D17" s="39">
        <v>1.4999999999999999E-2</v>
      </c>
      <c r="E17" s="39">
        <v>7.0000000000000001E-3</v>
      </c>
      <c r="F17" s="39">
        <v>4.0000000000000001E-3</v>
      </c>
      <c r="G17" s="39">
        <v>1E-3</v>
      </c>
      <c r="H17" s="39">
        <v>1.4999999999999999E-2</v>
      </c>
      <c r="I17" s="39">
        <v>1E-3</v>
      </c>
      <c r="J17" s="40" t="s">
        <v>22</v>
      </c>
      <c r="K17" s="9" t="s">
        <v>266</v>
      </c>
    </row>
    <row r="18" spans="1:11" ht="12" customHeight="1" x14ac:dyDescent="0.25">
      <c r="A18" s="38">
        <v>17</v>
      </c>
      <c r="B18" s="9" t="s">
        <v>126</v>
      </c>
      <c r="C18" s="39">
        <v>0</v>
      </c>
      <c r="D18" s="39">
        <v>1.4999999999999999E-2</v>
      </c>
      <c r="E18" s="39">
        <v>7.0000000000000001E-3</v>
      </c>
      <c r="F18" s="39">
        <v>3.0000000000000001E-3</v>
      </c>
      <c r="G18" s="39">
        <v>1E-3</v>
      </c>
      <c r="H18" s="39">
        <v>1.4999999999999999E-2</v>
      </c>
      <c r="I18" s="39">
        <v>1E-3</v>
      </c>
      <c r="J18" s="40" t="s">
        <v>22</v>
      </c>
      <c r="K18" s="9" t="s">
        <v>267</v>
      </c>
    </row>
    <row r="19" spans="1:11" ht="12" customHeight="1" x14ac:dyDescent="0.25">
      <c r="A19" s="38">
        <v>18</v>
      </c>
      <c r="B19" s="9" t="s">
        <v>131</v>
      </c>
      <c r="C19" s="39">
        <v>1</v>
      </c>
      <c r="D19" s="39">
        <v>1</v>
      </c>
      <c r="E19" s="39">
        <v>0.99</v>
      </c>
      <c r="F19" s="39">
        <v>0.996</v>
      </c>
      <c r="G19" s="39">
        <v>1</v>
      </c>
      <c r="H19" s="39">
        <v>0.01</v>
      </c>
      <c r="I19" s="39">
        <v>0</v>
      </c>
      <c r="J19" s="40" t="s">
        <v>22</v>
      </c>
      <c r="K19" s="9" t="s">
        <v>268</v>
      </c>
    </row>
    <row r="20" spans="1:11" ht="12" customHeight="1" x14ac:dyDescent="0.25">
      <c r="A20" s="38">
        <v>19</v>
      </c>
      <c r="B20" s="9" t="s">
        <v>127</v>
      </c>
      <c r="C20" s="39">
        <v>0.999</v>
      </c>
      <c r="D20" s="39">
        <v>1</v>
      </c>
      <c r="E20" s="39">
        <v>1</v>
      </c>
      <c r="F20" s="39">
        <v>1</v>
      </c>
      <c r="G20" s="39">
        <v>1</v>
      </c>
      <c r="H20" s="39">
        <v>1E-3</v>
      </c>
      <c r="I20" s="39">
        <v>1E-3</v>
      </c>
      <c r="J20" s="40" t="s">
        <v>22</v>
      </c>
      <c r="K20" s="9" t="s">
        <v>269</v>
      </c>
    </row>
    <row r="21" spans="1:11" ht="12" customHeight="1" x14ac:dyDescent="0.25">
      <c r="A21" s="38">
        <v>20</v>
      </c>
      <c r="B21" s="9" t="s">
        <v>121</v>
      </c>
      <c r="C21" s="39">
        <v>1</v>
      </c>
      <c r="D21" s="39">
        <v>1</v>
      </c>
      <c r="E21" s="39">
        <v>1</v>
      </c>
      <c r="F21" s="39">
        <v>1</v>
      </c>
      <c r="G21" s="39">
        <v>1</v>
      </c>
      <c r="H21" s="39">
        <v>0</v>
      </c>
      <c r="I21" s="39">
        <v>0</v>
      </c>
      <c r="J21" s="40" t="s">
        <v>22</v>
      </c>
      <c r="K21" s="9" t="s">
        <v>270</v>
      </c>
    </row>
    <row r="22" spans="1:11" ht="12" customHeight="1" x14ac:dyDescent="0.25">
      <c r="A22" s="38">
        <v>21</v>
      </c>
      <c r="B22" s="9" t="s">
        <v>123</v>
      </c>
      <c r="C22" s="39">
        <v>1</v>
      </c>
      <c r="D22" s="39">
        <v>1</v>
      </c>
      <c r="E22" s="39">
        <v>1</v>
      </c>
      <c r="F22" s="39">
        <v>1</v>
      </c>
      <c r="G22" s="39">
        <v>1</v>
      </c>
      <c r="H22" s="39">
        <v>0</v>
      </c>
      <c r="I22" s="39">
        <v>0</v>
      </c>
      <c r="J22" s="40" t="s">
        <v>22</v>
      </c>
      <c r="K22" s="9" t="s">
        <v>271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Main(pre-Update v0.3.3.3348)</vt:lpstr>
      <vt:lpstr>LowMedian(Update v0.3.3.3348)</vt:lpstr>
      <vt:lpstr>Main(0.3.11.4021)</vt:lpstr>
      <vt:lpstr>FinalIteration(Nodnarb21s)</vt:lpstr>
      <vt:lpstr>ComparisonOverview</vt:lpstr>
      <vt:lpstr>Balance Dashboard</vt:lpstr>
      <vt:lpstr>Unit Metrics</vt:lpstr>
      <vt:lpstr>Pair Volatility</vt:lpstr>
      <vt:lpstr>Accessibility Guide</vt:lpstr>
      <vt:lpstr>Metric Definitions</vt:lpstr>
      <vt:lpstr>Patch Summary</vt:lpstr>
      <vt:lpstr>Block Balance</vt:lpstr>
      <vt:lpstr>Pair Scaling</vt:lpstr>
      <vt:lpstr>Current Unit Ranking</vt:lpstr>
      <vt:lpstr>Current Pair Swings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Community balance analysis</dc:creator>
  <cp:lastModifiedBy>Community balance analysis</cp:lastModifiedBy>
  <dcterms:created xsi:type="dcterms:W3CDTF">2026-05-13T02:11:03Z</dcterms:created>
  <dcterms:modified xsi:type="dcterms:W3CDTF">2026-05-13T02:11:03Z</dcterms:modified>
</cp:coreProperties>
</file>